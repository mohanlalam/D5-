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7872f98efdc6bc7/Desktop/D5/"/>
    </mc:Choice>
  </mc:AlternateContent>
  <xr:revisionPtr revIDLastSave="6" documentId="11_D673A34A26BE10EB5C114377BCF81393844F08F2" xr6:coauthVersionLast="47" xr6:coauthVersionMax="47" xr10:uidLastSave="{EBAF0925-8ED4-4E0E-8251-9437F8F7F910}"/>
  <bookViews>
    <workbookView xWindow="-108" yWindow="-108" windowWidth="23256" windowHeight="12456" tabRatio="861" firstSheet="31" activeTab="38" xr2:uid="{00000000-000D-0000-FFFF-FFFF00000000}"/>
  </bookViews>
  <sheets>
    <sheet name="22-03" sheetId="106" state="hidden" r:id="rId1"/>
    <sheet name="23-03" sheetId="107" state="hidden" r:id="rId2"/>
    <sheet name="24-03" sheetId="108" state="hidden" r:id="rId3"/>
    <sheet name="25-03" sheetId="109" state="hidden" r:id="rId4"/>
    <sheet name="26-03" sheetId="110" state="hidden" r:id="rId5"/>
    <sheet name="27-03" sheetId="111" state="hidden" r:id="rId6"/>
    <sheet name="28-03" sheetId="112" state="hidden" r:id="rId7"/>
    <sheet name="29-03" sheetId="115" state="hidden" r:id="rId8"/>
    <sheet name="30-03" sheetId="116" state="hidden" r:id="rId9"/>
    <sheet name="31-03" sheetId="117" state="hidden" r:id="rId10"/>
    <sheet name="01-04" sheetId="118" state="hidden" r:id="rId11"/>
    <sheet name="02-04" sheetId="119" state="hidden" r:id="rId12"/>
    <sheet name="03-04" sheetId="120" state="hidden" r:id="rId13"/>
    <sheet name="04-04" sheetId="121" state="hidden" r:id="rId14"/>
    <sheet name="05-04" sheetId="122" state="hidden" r:id="rId15"/>
    <sheet name="06-04" sheetId="123" state="hidden" r:id="rId16"/>
    <sheet name="07-04" sheetId="124" state="hidden" r:id="rId17"/>
    <sheet name="08-04" sheetId="125" state="hidden" r:id="rId18"/>
    <sheet name="09-04" sheetId="126" state="hidden" r:id="rId19"/>
    <sheet name="10-04" sheetId="128" state="hidden" r:id="rId20"/>
    <sheet name="11-04" sheetId="129" state="hidden" r:id="rId21"/>
    <sheet name="12-04" sheetId="130" state="hidden" r:id="rId22"/>
    <sheet name="13-04" sheetId="131" state="hidden" r:id="rId23"/>
    <sheet name="14-04" sheetId="132" state="hidden" r:id="rId24"/>
    <sheet name="15-04" sheetId="133" state="hidden" r:id="rId25"/>
    <sheet name="16-04" sheetId="134" state="hidden" r:id="rId26"/>
    <sheet name="19-04" sheetId="137" state="hidden" r:id="rId27"/>
    <sheet name="20-04" sheetId="138" state="hidden" r:id="rId28"/>
    <sheet name="21-04" sheetId="139" state="hidden" r:id="rId29"/>
    <sheet name="22-04" sheetId="141" state="hidden" r:id="rId30"/>
    <sheet name="23-04" sheetId="142" state="hidden" r:id="rId31"/>
    <sheet name="24-04" sheetId="143" r:id="rId32"/>
    <sheet name="25-04" sheetId="144" r:id="rId33"/>
    <sheet name="27-04" sheetId="145" r:id="rId34"/>
    <sheet name="28-04" sheetId="146" r:id="rId35"/>
    <sheet name="29-04" sheetId="147" r:id="rId36"/>
    <sheet name="30-04" sheetId="148" r:id="rId37"/>
    <sheet name="01-05" sheetId="149" r:id="rId38"/>
    <sheet name="07-05" sheetId="153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3" i="153" l="1"/>
  <c r="K83" i="153"/>
  <c r="J83" i="153"/>
  <c r="L82" i="153"/>
  <c r="K82" i="153"/>
  <c r="R82" i="153" s="1"/>
  <c r="T82" i="153" s="1"/>
  <c r="J82" i="153"/>
  <c r="L81" i="153"/>
  <c r="K81" i="153"/>
  <c r="R81" i="153" s="1"/>
  <c r="T81" i="153" s="1"/>
  <c r="J81" i="153"/>
  <c r="L80" i="153"/>
  <c r="K80" i="153"/>
  <c r="J80" i="153"/>
  <c r="L79" i="153"/>
  <c r="K79" i="153"/>
  <c r="J79" i="153"/>
  <c r="L77" i="153"/>
  <c r="K77" i="153"/>
  <c r="R77" i="153" s="1"/>
  <c r="T77" i="153" s="1"/>
  <c r="J77" i="153"/>
  <c r="L76" i="153"/>
  <c r="K76" i="153"/>
  <c r="R76" i="153" s="1"/>
  <c r="T76" i="153" s="1"/>
  <c r="J76" i="153"/>
  <c r="L75" i="153"/>
  <c r="R75" i="153" s="1"/>
  <c r="K75" i="153"/>
  <c r="J75" i="153"/>
  <c r="L74" i="153"/>
  <c r="R74" i="153" s="1"/>
  <c r="T74" i="153" s="1"/>
  <c r="K74" i="153"/>
  <c r="J74" i="153"/>
  <c r="L73" i="153"/>
  <c r="K73" i="153"/>
  <c r="J73" i="153"/>
  <c r="L71" i="153"/>
  <c r="R71" i="153" s="1"/>
  <c r="T71" i="153" s="1"/>
  <c r="K71" i="153"/>
  <c r="J71" i="153"/>
  <c r="L70" i="153"/>
  <c r="K70" i="153"/>
  <c r="R70" i="153" s="1"/>
  <c r="T70" i="153" s="1"/>
  <c r="J70" i="153"/>
  <c r="L69" i="153"/>
  <c r="K69" i="153"/>
  <c r="R69" i="153" s="1"/>
  <c r="J69" i="153"/>
  <c r="L68" i="153"/>
  <c r="K68" i="153"/>
  <c r="R68" i="153" s="1"/>
  <c r="J68" i="153"/>
  <c r="R67" i="153"/>
  <c r="T67" i="153" s="1"/>
  <c r="L67" i="153"/>
  <c r="K67" i="153"/>
  <c r="J67" i="153"/>
  <c r="L65" i="153"/>
  <c r="R65" i="153" s="1"/>
  <c r="T65" i="153" s="1"/>
  <c r="K65" i="153"/>
  <c r="J65" i="153"/>
  <c r="L64" i="153"/>
  <c r="K64" i="153"/>
  <c r="R64" i="153" s="1"/>
  <c r="J64" i="153"/>
  <c r="L63" i="153"/>
  <c r="K63" i="153"/>
  <c r="J63" i="153"/>
  <c r="L62" i="153"/>
  <c r="K62" i="153"/>
  <c r="R62" i="153" s="1"/>
  <c r="T62" i="153" s="1"/>
  <c r="J62" i="153"/>
  <c r="L61" i="153"/>
  <c r="K61" i="153"/>
  <c r="R61" i="153" s="1"/>
  <c r="J61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5" i="153"/>
  <c r="K45" i="153"/>
  <c r="J45" i="153"/>
  <c r="K44" i="153"/>
  <c r="R44" i="153" s="1"/>
  <c r="J44" i="153"/>
  <c r="L43" i="153"/>
  <c r="K43" i="153"/>
  <c r="J43" i="153"/>
  <c r="L42" i="153"/>
  <c r="K42" i="153"/>
  <c r="J42" i="153"/>
  <c r="L41" i="153"/>
  <c r="K41" i="153"/>
  <c r="J41" i="153"/>
  <c r="L39" i="153"/>
  <c r="K39" i="153"/>
  <c r="J39" i="153"/>
  <c r="L38" i="153"/>
  <c r="K38" i="153"/>
  <c r="J38" i="153"/>
  <c r="L37" i="153"/>
  <c r="K37" i="153"/>
  <c r="J37" i="153"/>
  <c r="L36" i="153"/>
  <c r="K36" i="153"/>
  <c r="J36" i="153"/>
  <c r="L35" i="153"/>
  <c r="K35" i="153"/>
  <c r="J35" i="153"/>
  <c r="L33" i="153"/>
  <c r="K33" i="153"/>
  <c r="J33" i="153"/>
  <c r="L32" i="153"/>
  <c r="K32" i="153"/>
  <c r="J32" i="153"/>
  <c r="L31" i="153"/>
  <c r="K31" i="153"/>
  <c r="J31" i="153"/>
  <c r="L30" i="153"/>
  <c r="K30" i="153"/>
  <c r="R30" i="153" s="1"/>
  <c r="J30" i="153"/>
  <c r="L29" i="153"/>
  <c r="K29" i="153"/>
  <c r="J29" i="153"/>
  <c r="T68" i="153" l="1"/>
  <c r="T64" i="153"/>
  <c r="R73" i="153"/>
  <c r="T73" i="153" s="1"/>
  <c r="T78" i="153" s="1"/>
  <c r="AD66" i="153" s="1"/>
  <c r="T61" i="153"/>
  <c r="T66" i="153" s="1"/>
  <c r="T69" i="153"/>
  <c r="T72" i="153" s="1"/>
  <c r="R33" i="153"/>
  <c r="R38" i="153"/>
  <c r="R63" i="153"/>
  <c r="T63" i="153" s="1"/>
  <c r="R42" i="153"/>
  <c r="T42" i="153" s="1"/>
  <c r="R79" i="153"/>
  <c r="T79" i="153" s="1"/>
  <c r="T84" i="153" s="1"/>
  <c r="R83" i="153"/>
  <c r="T83" i="153" s="1"/>
  <c r="R80" i="153"/>
  <c r="T80" i="153" s="1"/>
  <c r="R50" i="153"/>
  <c r="T75" i="153"/>
  <c r="R31" i="153"/>
  <c r="T30" i="153"/>
  <c r="R32" i="153"/>
  <c r="T32" i="153" s="1"/>
  <c r="T33" i="153"/>
  <c r="T38" i="153"/>
  <c r="R48" i="153"/>
  <c r="T48" i="153" s="1"/>
  <c r="R49" i="153"/>
  <c r="T49" i="153" s="1"/>
  <c r="R37" i="153"/>
  <c r="T37" i="153" s="1"/>
  <c r="T50" i="153"/>
  <c r="R45" i="153"/>
  <c r="T45" i="153" s="1"/>
  <c r="R36" i="153"/>
  <c r="T36" i="153" s="1"/>
  <c r="R47" i="153"/>
  <c r="T47" i="153" s="1"/>
  <c r="T44" i="153"/>
  <c r="R51" i="153"/>
  <c r="T51" i="153" s="1"/>
  <c r="R39" i="153"/>
  <c r="T39" i="153" s="1"/>
  <c r="R29" i="153"/>
  <c r="T29" i="153" s="1"/>
  <c r="T31" i="153"/>
  <c r="R35" i="153"/>
  <c r="T35" i="153" s="1"/>
  <c r="R41" i="153"/>
  <c r="T41" i="153" s="1"/>
  <c r="R43" i="153"/>
  <c r="T43" i="153" s="1"/>
  <c r="T34" i="153" l="1"/>
  <c r="T46" i="153"/>
  <c r="T52" i="153"/>
  <c r="AD36" i="153" s="1"/>
  <c r="T40" i="153"/>
  <c r="AD64" i="153"/>
  <c r="X64" i="153"/>
  <c r="AA64" i="153"/>
  <c r="AA60" i="153" s="1"/>
  <c r="AD67" i="153"/>
  <c r="Y64" i="153"/>
  <c r="Y60" i="153" s="1"/>
  <c r="AD65" i="153"/>
  <c r="AD34" i="153"/>
  <c r="AD33" i="153" l="1"/>
  <c r="X33" i="153"/>
  <c r="X28" i="153" s="1"/>
  <c r="AG39" i="153" s="1"/>
  <c r="AG40" i="153" s="1"/>
  <c r="Y33" i="153"/>
  <c r="Y28" i="153" s="1"/>
  <c r="AH39" i="153" s="1"/>
  <c r="AH40" i="153" s="1"/>
  <c r="AD35" i="153"/>
  <c r="Z33" i="153"/>
  <c r="Z64" i="153"/>
  <c r="Z60" i="153" s="1"/>
  <c r="X60" i="153"/>
  <c r="AA33" i="153" l="1"/>
  <c r="AA28" i="153" s="1"/>
  <c r="AJ39" i="153" s="1"/>
  <c r="AJ40" i="153" s="1"/>
  <c r="Z28" i="153"/>
  <c r="AI39" i="153" s="1"/>
  <c r="AI40" i="153" s="1"/>
  <c r="L44" i="149"/>
  <c r="L83" i="149"/>
  <c r="R83" i="149" s="1"/>
  <c r="T83" i="149" s="1"/>
  <c r="K83" i="149"/>
  <c r="J83" i="149"/>
  <c r="L82" i="149"/>
  <c r="K82" i="149"/>
  <c r="R82" i="149" s="1"/>
  <c r="T82" i="149" s="1"/>
  <c r="J82" i="149"/>
  <c r="L81" i="149"/>
  <c r="K81" i="149"/>
  <c r="J81" i="149"/>
  <c r="L80" i="149"/>
  <c r="K80" i="149"/>
  <c r="R80" i="149" s="1"/>
  <c r="T80" i="149" s="1"/>
  <c r="J80" i="149"/>
  <c r="L79" i="149"/>
  <c r="K79" i="149"/>
  <c r="J79" i="149"/>
  <c r="L77" i="149"/>
  <c r="K77" i="149"/>
  <c r="R77" i="149" s="1"/>
  <c r="T77" i="149" s="1"/>
  <c r="J77" i="149"/>
  <c r="L76" i="149"/>
  <c r="K76" i="149"/>
  <c r="J76" i="149"/>
  <c r="L75" i="149"/>
  <c r="K75" i="149"/>
  <c r="J75" i="149"/>
  <c r="L74" i="149"/>
  <c r="K74" i="149"/>
  <c r="R74" i="149" s="1"/>
  <c r="T74" i="149" s="1"/>
  <c r="J74" i="149"/>
  <c r="L73" i="149"/>
  <c r="K73" i="149"/>
  <c r="J73" i="149"/>
  <c r="L71" i="149"/>
  <c r="K71" i="149"/>
  <c r="J71" i="149"/>
  <c r="L70" i="149"/>
  <c r="K70" i="149"/>
  <c r="R70" i="149" s="1"/>
  <c r="T70" i="149" s="1"/>
  <c r="J70" i="149"/>
  <c r="L69" i="149"/>
  <c r="K69" i="149"/>
  <c r="J69" i="149"/>
  <c r="L68" i="149"/>
  <c r="K68" i="149"/>
  <c r="R68" i="149" s="1"/>
  <c r="J68" i="149"/>
  <c r="R67" i="149"/>
  <c r="T67" i="149" s="1"/>
  <c r="L67" i="149"/>
  <c r="K67" i="149"/>
  <c r="J67" i="149"/>
  <c r="L65" i="149"/>
  <c r="K65" i="149"/>
  <c r="R65" i="149" s="1"/>
  <c r="T65" i="149" s="1"/>
  <c r="J65" i="149"/>
  <c r="L64" i="149"/>
  <c r="K64" i="149"/>
  <c r="J64" i="149"/>
  <c r="L63" i="149"/>
  <c r="K63" i="149"/>
  <c r="J63" i="149"/>
  <c r="L62" i="149"/>
  <c r="K62" i="149"/>
  <c r="R62" i="149" s="1"/>
  <c r="T62" i="149" s="1"/>
  <c r="J62" i="149"/>
  <c r="L61" i="149"/>
  <c r="K61" i="149"/>
  <c r="J61" i="149"/>
  <c r="L51" i="149"/>
  <c r="K51" i="149"/>
  <c r="J51" i="149"/>
  <c r="L50" i="149"/>
  <c r="K50" i="149"/>
  <c r="J50" i="149"/>
  <c r="L49" i="149"/>
  <c r="K49" i="149"/>
  <c r="R49" i="149" s="1"/>
  <c r="J49" i="149"/>
  <c r="L48" i="149"/>
  <c r="K48" i="149"/>
  <c r="J48" i="149"/>
  <c r="L47" i="149"/>
  <c r="K47" i="149"/>
  <c r="J47" i="149"/>
  <c r="L45" i="149"/>
  <c r="K45" i="149"/>
  <c r="J45" i="149"/>
  <c r="K44" i="149"/>
  <c r="J44" i="149"/>
  <c r="L43" i="149"/>
  <c r="K43" i="149"/>
  <c r="J43" i="149"/>
  <c r="L42" i="149"/>
  <c r="K42" i="149"/>
  <c r="J42" i="149"/>
  <c r="L41" i="149"/>
  <c r="K41" i="149"/>
  <c r="J41" i="149"/>
  <c r="L39" i="149"/>
  <c r="K39" i="149"/>
  <c r="R39" i="149" s="1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R35" i="149" s="1"/>
  <c r="J35" i="149"/>
  <c r="L33" i="149"/>
  <c r="K33" i="149"/>
  <c r="R33" i="149" s="1"/>
  <c r="J33" i="149"/>
  <c r="L32" i="149"/>
  <c r="K32" i="149"/>
  <c r="J32" i="149"/>
  <c r="L31" i="149"/>
  <c r="K31" i="149"/>
  <c r="J31" i="149"/>
  <c r="L30" i="149"/>
  <c r="K30" i="149"/>
  <c r="R30" i="149" s="1"/>
  <c r="J30" i="149"/>
  <c r="L29" i="149"/>
  <c r="K29" i="149"/>
  <c r="R29" i="149" s="1"/>
  <c r="J29" i="149"/>
  <c r="R69" i="149" l="1"/>
  <c r="T69" i="149" s="1"/>
  <c r="T39" i="149"/>
  <c r="R50" i="149"/>
  <c r="T50" i="149" s="1"/>
  <c r="R79" i="149"/>
  <c r="T79" i="149" s="1"/>
  <c r="T84" i="149" s="1"/>
  <c r="T49" i="149"/>
  <c r="R41" i="149"/>
  <c r="R63" i="149"/>
  <c r="T63" i="149" s="1"/>
  <c r="T68" i="149"/>
  <c r="R71" i="149"/>
  <c r="T71" i="149" s="1"/>
  <c r="T72" i="149" s="1"/>
  <c r="AD65" i="149" s="1"/>
  <c r="R42" i="149"/>
  <c r="R64" i="149"/>
  <c r="T64" i="149" s="1"/>
  <c r="R76" i="149"/>
  <c r="T76" i="149" s="1"/>
  <c r="R81" i="149"/>
  <c r="T81" i="149" s="1"/>
  <c r="R75" i="149"/>
  <c r="T75" i="149" s="1"/>
  <c r="R47" i="149"/>
  <c r="R61" i="149"/>
  <c r="T61" i="149" s="1"/>
  <c r="T66" i="149" s="1"/>
  <c r="R73" i="149"/>
  <c r="T73" i="149" s="1"/>
  <c r="R48" i="149"/>
  <c r="T48" i="149" s="1"/>
  <c r="R31" i="149"/>
  <c r="T31" i="149" s="1"/>
  <c r="T42" i="149"/>
  <c r="T30" i="149"/>
  <c r="T41" i="149"/>
  <c r="R37" i="149"/>
  <c r="T37" i="149" s="1"/>
  <c r="T35" i="149"/>
  <c r="R44" i="149"/>
  <c r="T33" i="149"/>
  <c r="R51" i="149"/>
  <c r="T51" i="149" s="1"/>
  <c r="R36" i="149"/>
  <c r="T36" i="149" s="1"/>
  <c r="R38" i="149"/>
  <c r="T38" i="149" s="1"/>
  <c r="R43" i="149"/>
  <c r="T43" i="149" s="1"/>
  <c r="T29" i="149"/>
  <c r="R32" i="149"/>
  <c r="T32" i="149" s="1"/>
  <c r="R45" i="149"/>
  <c r="T45" i="149" s="1"/>
  <c r="T47" i="149"/>
  <c r="T78" i="149"/>
  <c r="T44" i="149"/>
  <c r="L83" i="148"/>
  <c r="K83" i="148"/>
  <c r="J83" i="148"/>
  <c r="L82" i="148"/>
  <c r="K82" i="148"/>
  <c r="R82" i="148" s="1"/>
  <c r="T82" i="148" s="1"/>
  <c r="J82" i="148"/>
  <c r="L81" i="148"/>
  <c r="K81" i="148"/>
  <c r="J81" i="148"/>
  <c r="L80" i="148"/>
  <c r="K80" i="148"/>
  <c r="R80" i="148" s="1"/>
  <c r="J80" i="148"/>
  <c r="L79" i="148"/>
  <c r="K79" i="148"/>
  <c r="J79" i="148"/>
  <c r="L77" i="148"/>
  <c r="K77" i="148"/>
  <c r="R77" i="148" s="1"/>
  <c r="T77" i="148" s="1"/>
  <c r="J77" i="148"/>
  <c r="L76" i="148"/>
  <c r="K76" i="148"/>
  <c r="J76" i="148"/>
  <c r="L75" i="148"/>
  <c r="K75" i="148"/>
  <c r="J75" i="148"/>
  <c r="L74" i="148"/>
  <c r="K74" i="148"/>
  <c r="R74" i="148" s="1"/>
  <c r="T74" i="148" s="1"/>
  <c r="J74" i="148"/>
  <c r="L73" i="148"/>
  <c r="K73" i="148"/>
  <c r="J73" i="148"/>
  <c r="L71" i="148"/>
  <c r="R71" i="148" s="1"/>
  <c r="T71" i="148" s="1"/>
  <c r="K71" i="148"/>
  <c r="J71" i="148"/>
  <c r="L70" i="148"/>
  <c r="K70" i="148"/>
  <c r="R70" i="148" s="1"/>
  <c r="T70" i="148" s="1"/>
  <c r="J70" i="148"/>
  <c r="L69" i="148"/>
  <c r="K69" i="148"/>
  <c r="R69" i="148" s="1"/>
  <c r="J69" i="148"/>
  <c r="L68" i="148"/>
  <c r="K68" i="148"/>
  <c r="R68" i="148" s="1"/>
  <c r="T68" i="148" s="1"/>
  <c r="J68" i="148"/>
  <c r="L67" i="148"/>
  <c r="K67" i="148"/>
  <c r="R67" i="148" s="1"/>
  <c r="T67" i="148" s="1"/>
  <c r="J67" i="148"/>
  <c r="L65" i="148"/>
  <c r="K65" i="148"/>
  <c r="R65" i="148" s="1"/>
  <c r="T65" i="148" s="1"/>
  <c r="J65" i="148"/>
  <c r="L64" i="148"/>
  <c r="K64" i="148"/>
  <c r="R64" i="148" s="1"/>
  <c r="T64" i="148" s="1"/>
  <c r="J64" i="148"/>
  <c r="L63" i="148"/>
  <c r="R63" i="148" s="1"/>
  <c r="T63" i="148" s="1"/>
  <c r="K63" i="148"/>
  <c r="J63" i="148"/>
  <c r="L62" i="148"/>
  <c r="K62" i="148"/>
  <c r="R62" i="148" s="1"/>
  <c r="T62" i="148" s="1"/>
  <c r="J62" i="148"/>
  <c r="L61" i="148"/>
  <c r="K61" i="148"/>
  <c r="R61" i="148" s="1"/>
  <c r="J61" i="148"/>
  <c r="L51" i="148"/>
  <c r="K51" i="148"/>
  <c r="J51" i="148"/>
  <c r="L50" i="148"/>
  <c r="K50" i="148"/>
  <c r="J50" i="148"/>
  <c r="L49" i="148"/>
  <c r="K49" i="148"/>
  <c r="J49" i="148"/>
  <c r="L48" i="148"/>
  <c r="K48" i="148"/>
  <c r="R48" i="148" s="1"/>
  <c r="J48" i="148"/>
  <c r="L47" i="148"/>
  <c r="K47" i="148"/>
  <c r="J47" i="148"/>
  <c r="L45" i="148"/>
  <c r="K45" i="148"/>
  <c r="J45" i="148"/>
  <c r="K44" i="148"/>
  <c r="J44" i="148"/>
  <c r="L43" i="148"/>
  <c r="K43" i="148"/>
  <c r="J43" i="148"/>
  <c r="L42" i="148"/>
  <c r="K42" i="148"/>
  <c r="R42" i="148" s="1"/>
  <c r="J42" i="148"/>
  <c r="L41" i="148"/>
  <c r="K41" i="148"/>
  <c r="J41" i="148"/>
  <c r="L39" i="148"/>
  <c r="K39" i="148"/>
  <c r="J39" i="148"/>
  <c r="L38" i="148"/>
  <c r="K38" i="148"/>
  <c r="J38" i="148"/>
  <c r="L37" i="148"/>
  <c r="K37" i="148"/>
  <c r="R37" i="148" s="1"/>
  <c r="J37" i="148"/>
  <c r="L36" i="148"/>
  <c r="K36" i="148"/>
  <c r="J36" i="148"/>
  <c r="L35" i="148"/>
  <c r="K35" i="148"/>
  <c r="J35" i="148"/>
  <c r="L33" i="148"/>
  <c r="K33" i="148"/>
  <c r="J33" i="148"/>
  <c r="L32" i="148"/>
  <c r="K32" i="148"/>
  <c r="R32" i="148" s="1"/>
  <c r="J32" i="148"/>
  <c r="L31" i="148"/>
  <c r="R31" i="148" s="1"/>
  <c r="K31" i="148"/>
  <c r="J31" i="148"/>
  <c r="L30" i="148"/>
  <c r="K30" i="148"/>
  <c r="R30" i="148" s="1"/>
  <c r="T30" i="148" s="1"/>
  <c r="J30" i="148"/>
  <c r="L29" i="148"/>
  <c r="K29" i="148"/>
  <c r="J29" i="148"/>
  <c r="R73" i="148" l="1"/>
  <c r="T73" i="148" s="1"/>
  <c r="R79" i="148"/>
  <c r="T79" i="148" s="1"/>
  <c r="R83" i="148"/>
  <c r="T83" i="148" s="1"/>
  <c r="T61" i="148"/>
  <c r="T80" i="148"/>
  <c r="R75" i="148"/>
  <c r="T75" i="148" s="1"/>
  <c r="T69" i="148"/>
  <c r="R76" i="148"/>
  <c r="T76" i="148" s="1"/>
  <c r="R81" i="148"/>
  <c r="T81" i="148" s="1"/>
  <c r="T84" i="148" s="1"/>
  <c r="T34" i="149"/>
  <c r="AD33" i="149" s="1"/>
  <c r="T52" i="149"/>
  <c r="AA36" i="149" s="1"/>
  <c r="AA28" i="149" s="1"/>
  <c r="AJ38" i="149" s="1"/>
  <c r="AJ39" i="149" s="1"/>
  <c r="T40" i="149"/>
  <c r="T46" i="149"/>
  <c r="Z64" i="149"/>
  <c r="Z60" i="149" s="1"/>
  <c r="AD66" i="149"/>
  <c r="AA64" i="149"/>
  <c r="AA60" i="149" s="1"/>
  <c r="AD67" i="149"/>
  <c r="AD64" i="149"/>
  <c r="X64" i="149"/>
  <c r="R43" i="148"/>
  <c r="T43" i="148" s="1"/>
  <c r="R45" i="148"/>
  <c r="T42" i="148"/>
  <c r="T45" i="148"/>
  <c r="R49" i="148"/>
  <c r="T49" i="148" s="1"/>
  <c r="R50" i="148"/>
  <c r="T50" i="148" s="1"/>
  <c r="R47" i="148"/>
  <c r="T47" i="148" s="1"/>
  <c r="R44" i="148"/>
  <c r="T44" i="148" s="1"/>
  <c r="R33" i="148"/>
  <c r="T33" i="148" s="1"/>
  <c r="R36" i="148"/>
  <c r="T36" i="148" s="1"/>
  <c r="R38" i="148"/>
  <c r="T38" i="148" s="1"/>
  <c r="T37" i="148"/>
  <c r="R51" i="148"/>
  <c r="T51" i="148" s="1"/>
  <c r="T48" i="148"/>
  <c r="T32" i="148"/>
  <c r="R39" i="148"/>
  <c r="T39" i="148" s="1"/>
  <c r="R29" i="148"/>
  <c r="T29" i="148" s="1"/>
  <c r="T31" i="148"/>
  <c r="R35" i="148"/>
  <c r="T35" i="148" s="1"/>
  <c r="R41" i="148"/>
  <c r="T41" i="148" s="1"/>
  <c r="T72" i="148"/>
  <c r="AD65" i="148" s="1"/>
  <c r="T66" i="148"/>
  <c r="AD34" i="149" l="1"/>
  <c r="Y36" i="149"/>
  <c r="AD36" i="149"/>
  <c r="AD35" i="149"/>
  <c r="Z36" i="149"/>
  <c r="Z28" i="149" s="1"/>
  <c r="AI38" i="149" s="1"/>
  <c r="AI39" i="149" s="1"/>
  <c r="T78" i="148"/>
  <c r="AD66" i="148" s="1"/>
  <c r="Y64" i="149"/>
  <c r="Y60" i="149" s="1"/>
  <c r="X60" i="149"/>
  <c r="T40" i="148"/>
  <c r="T34" i="148"/>
  <c r="T52" i="148"/>
  <c r="AD36" i="148" s="1"/>
  <c r="T46" i="148"/>
  <c r="AD34" i="148"/>
  <c r="AD33" i="148"/>
  <c r="Z64" i="148"/>
  <c r="Z60" i="148" s="1"/>
  <c r="X64" i="148"/>
  <c r="AD64" i="148"/>
  <c r="AA64" i="148"/>
  <c r="AA60" i="148" s="1"/>
  <c r="AD67" i="148"/>
  <c r="L83" i="147"/>
  <c r="R83" i="147" s="1"/>
  <c r="T83" i="147" s="1"/>
  <c r="K83" i="147"/>
  <c r="J83" i="147"/>
  <c r="L82" i="147"/>
  <c r="K82" i="147"/>
  <c r="R82" i="147" s="1"/>
  <c r="T82" i="147" s="1"/>
  <c r="J82" i="147"/>
  <c r="L81" i="147"/>
  <c r="K81" i="147"/>
  <c r="R81" i="147" s="1"/>
  <c r="T81" i="147" s="1"/>
  <c r="J81" i="147"/>
  <c r="L80" i="147"/>
  <c r="K80" i="147"/>
  <c r="R80" i="147" s="1"/>
  <c r="J80" i="147"/>
  <c r="L79" i="147"/>
  <c r="R79" i="147" s="1"/>
  <c r="K79" i="147"/>
  <c r="J79" i="147"/>
  <c r="L77" i="147"/>
  <c r="K77" i="147"/>
  <c r="R77" i="147" s="1"/>
  <c r="T77" i="147" s="1"/>
  <c r="J77" i="147"/>
  <c r="L76" i="147"/>
  <c r="K76" i="147"/>
  <c r="R76" i="147" s="1"/>
  <c r="T76" i="147" s="1"/>
  <c r="J76" i="147"/>
  <c r="L75" i="147"/>
  <c r="K75" i="147"/>
  <c r="J75" i="147"/>
  <c r="L74" i="147"/>
  <c r="K74" i="147"/>
  <c r="R74" i="147" s="1"/>
  <c r="T74" i="147" s="1"/>
  <c r="J74" i="147"/>
  <c r="L73" i="147"/>
  <c r="K73" i="147"/>
  <c r="J73" i="147"/>
  <c r="L71" i="147"/>
  <c r="R71" i="147" s="1"/>
  <c r="K71" i="147"/>
  <c r="J71" i="147"/>
  <c r="L70" i="147"/>
  <c r="R70" i="147" s="1"/>
  <c r="T70" i="147" s="1"/>
  <c r="K70" i="147"/>
  <c r="J70" i="147"/>
  <c r="L69" i="147"/>
  <c r="K69" i="147"/>
  <c r="R69" i="147" s="1"/>
  <c r="J69" i="147"/>
  <c r="L68" i="147"/>
  <c r="K68" i="147"/>
  <c r="R68" i="147" s="1"/>
  <c r="J68" i="147"/>
  <c r="L67" i="147"/>
  <c r="K67" i="147"/>
  <c r="R67" i="147" s="1"/>
  <c r="T67" i="147" s="1"/>
  <c r="J67" i="147"/>
  <c r="L65" i="147"/>
  <c r="K65" i="147"/>
  <c r="R65" i="147" s="1"/>
  <c r="T65" i="147" s="1"/>
  <c r="J65" i="147"/>
  <c r="L64" i="147"/>
  <c r="K64" i="147"/>
  <c r="J64" i="147"/>
  <c r="L63" i="147"/>
  <c r="R63" i="147" s="1"/>
  <c r="K63" i="147"/>
  <c r="J63" i="147"/>
  <c r="L62" i="147"/>
  <c r="R62" i="147" s="1"/>
  <c r="T62" i="147" s="1"/>
  <c r="K62" i="147"/>
  <c r="J62" i="147"/>
  <c r="L61" i="147"/>
  <c r="K61" i="147"/>
  <c r="R61" i="147" s="1"/>
  <c r="J61" i="147"/>
  <c r="L51" i="147"/>
  <c r="K51" i="147"/>
  <c r="J51" i="147"/>
  <c r="L50" i="147"/>
  <c r="K50" i="147"/>
  <c r="R50" i="147" s="1"/>
  <c r="J50" i="147"/>
  <c r="L49" i="147"/>
  <c r="K49" i="147"/>
  <c r="J49" i="147"/>
  <c r="L48" i="147"/>
  <c r="K48" i="147"/>
  <c r="R48" i="147" s="1"/>
  <c r="J48" i="147"/>
  <c r="L47" i="147"/>
  <c r="K47" i="147"/>
  <c r="J47" i="147"/>
  <c r="L45" i="147"/>
  <c r="K45" i="147"/>
  <c r="R45" i="147" s="1"/>
  <c r="T45" i="147" s="1"/>
  <c r="J45" i="147"/>
  <c r="L44" i="147"/>
  <c r="K44" i="147"/>
  <c r="J44" i="147"/>
  <c r="L43" i="147"/>
  <c r="K43" i="147"/>
  <c r="J43" i="147"/>
  <c r="L42" i="147"/>
  <c r="K42" i="147"/>
  <c r="R42" i="147" s="1"/>
  <c r="T42" i="147" s="1"/>
  <c r="J42" i="147"/>
  <c r="L41" i="147"/>
  <c r="K41" i="147"/>
  <c r="J41" i="147"/>
  <c r="L39" i="147"/>
  <c r="K39" i="147"/>
  <c r="J39" i="147"/>
  <c r="L38" i="147"/>
  <c r="K38" i="147"/>
  <c r="R38" i="147" s="1"/>
  <c r="J38" i="147"/>
  <c r="L37" i="147"/>
  <c r="K37" i="147"/>
  <c r="J37" i="147"/>
  <c r="L36" i="147"/>
  <c r="K36" i="147"/>
  <c r="J36" i="147"/>
  <c r="L35" i="147"/>
  <c r="K35" i="147"/>
  <c r="J35" i="147"/>
  <c r="L33" i="147"/>
  <c r="K33" i="147"/>
  <c r="J33" i="147"/>
  <c r="L32" i="147"/>
  <c r="K32" i="147"/>
  <c r="J32" i="147"/>
  <c r="L31" i="147"/>
  <c r="K31" i="147"/>
  <c r="J31" i="147"/>
  <c r="L30" i="147"/>
  <c r="K30" i="147"/>
  <c r="J30" i="147"/>
  <c r="L29" i="147"/>
  <c r="K29" i="147"/>
  <c r="J29" i="147"/>
  <c r="T80" i="147" l="1"/>
  <c r="R75" i="147"/>
  <c r="T75" i="147" s="1"/>
  <c r="T71" i="147"/>
  <c r="T68" i="147"/>
  <c r="R64" i="147"/>
  <c r="T64" i="147" s="1"/>
  <c r="R73" i="147"/>
  <c r="T73" i="147" s="1"/>
  <c r="T78" i="147" s="1"/>
  <c r="AD66" i="147" s="1"/>
  <c r="T69" i="147"/>
  <c r="X36" i="149"/>
  <c r="X28" i="149" s="1"/>
  <c r="AG38" i="149" s="1"/>
  <c r="AG39" i="149" s="1"/>
  <c r="Y28" i="149"/>
  <c r="AH38" i="149" s="1"/>
  <c r="AH39" i="149" s="1"/>
  <c r="T63" i="147"/>
  <c r="T61" i="147"/>
  <c r="T66" i="147" s="1"/>
  <c r="R30" i="147"/>
  <c r="T30" i="147" s="1"/>
  <c r="R49" i="147"/>
  <c r="T79" i="147"/>
  <c r="AD35" i="148"/>
  <c r="AA35" i="148"/>
  <c r="AA28" i="148" s="1"/>
  <c r="AJ38" i="148" s="1"/>
  <c r="AJ39" i="148" s="1"/>
  <c r="X35" i="148"/>
  <c r="X28" i="148" s="1"/>
  <c r="AG38" i="148" s="1"/>
  <c r="AG39" i="148" s="1"/>
  <c r="Y35" i="148"/>
  <c r="X60" i="148"/>
  <c r="Y64" i="148"/>
  <c r="Y60" i="148" s="1"/>
  <c r="T50" i="147"/>
  <c r="T38" i="147"/>
  <c r="T48" i="147"/>
  <c r="R33" i="147"/>
  <c r="T33" i="147" s="1"/>
  <c r="R47" i="147"/>
  <c r="T47" i="147" s="1"/>
  <c r="R32" i="147"/>
  <c r="T32" i="147" s="1"/>
  <c r="R37" i="147"/>
  <c r="T37" i="147" s="1"/>
  <c r="R39" i="147"/>
  <c r="T39" i="147" s="1"/>
  <c r="R44" i="147"/>
  <c r="T44" i="147" s="1"/>
  <c r="T49" i="147"/>
  <c r="R51" i="147"/>
  <c r="T51" i="147" s="1"/>
  <c r="R29" i="147"/>
  <c r="T29" i="147" s="1"/>
  <c r="R31" i="147"/>
  <c r="T31" i="147" s="1"/>
  <c r="R35" i="147"/>
  <c r="T35" i="147" s="1"/>
  <c r="R36" i="147"/>
  <c r="T36" i="147" s="1"/>
  <c r="R41" i="147"/>
  <c r="T41" i="147" s="1"/>
  <c r="R43" i="147"/>
  <c r="T43" i="147" s="1"/>
  <c r="T72" i="147"/>
  <c r="AD65" i="147" s="1"/>
  <c r="T84" i="147"/>
  <c r="L43" i="146"/>
  <c r="L83" i="146"/>
  <c r="K83" i="146"/>
  <c r="J83" i="146"/>
  <c r="L82" i="146"/>
  <c r="R82" i="146" s="1"/>
  <c r="T82" i="146" s="1"/>
  <c r="K82" i="146"/>
  <c r="J82" i="146"/>
  <c r="L81" i="146"/>
  <c r="K81" i="146"/>
  <c r="R81" i="146" s="1"/>
  <c r="J81" i="146"/>
  <c r="L80" i="146"/>
  <c r="K80" i="146"/>
  <c r="R80" i="146" s="1"/>
  <c r="J80" i="146"/>
  <c r="L79" i="146"/>
  <c r="K79" i="146"/>
  <c r="J79" i="146"/>
  <c r="L77" i="146"/>
  <c r="K77" i="146"/>
  <c r="J77" i="146"/>
  <c r="L76" i="146"/>
  <c r="K76" i="146"/>
  <c r="R76" i="146" s="1"/>
  <c r="J76" i="146"/>
  <c r="L75" i="146"/>
  <c r="K75" i="146"/>
  <c r="J75" i="146"/>
  <c r="L74" i="146"/>
  <c r="K74" i="146"/>
  <c r="R74" i="146" s="1"/>
  <c r="T74" i="146" s="1"/>
  <c r="J74" i="146"/>
  <c r="L73" i="146"/>
  <c r="K73" i="146"/>
  <c r="J73" i="146"/>
  <c r="L71" i="146"/>
  <c r="K71" i="146"/>
  <c r="J71" i="146"/>
  <c r="L70" i="146"/>
  <c r="K70" i="146"/>
  <c r="R70" i="146" s="1"/>
  <c r="T70" i="146" s="1"/>
  <c r="J70" i="146"/>
  <c r="L69" i="146"/>
  <c r="K69" i="146"/>
  <c r="R69" i="146" s="1"/>
  <c r="T69" i="146" s="1"/>
  <c r="J69" i="146"/>
  <c r="L68" i="146"/>
  <c r="K68" i="146"/>
  <c r="R68" i="146" s="1"/>
  <c r="J68" i="146"/>
  <c r="R67" i="146"/>
  <c r="T67" i="146" s="1"/>
  <c r="L67" i="146"/>
  <c r="K67" i="146"/>
  <c r="J67" i="146"/>
  <c r="L65" i="146"/>
  <c r="K65" i="146"/>
  <c r="R65" i="146" s="1"/>
  <c r="T65" i="146" s="1"/>
  <c r="J65" i="146"/>
  <c r="L64" i="146"/>
  <c r="K64" i="146"/>
  <c r="J64" i="146"/>
  <c r="L63" i="146"/>
  <c r="K63" i="146"/>
  <c r="J63" i="146"/>
  <c r="L62" i="146"/>
  <c r="K62" i="146"/>
  <c r="R62" i="146" s="1"/>
  <c r="T62" i="146" s="1"/>
  <c r="J62" i="146"/>
  <c r="L61" i="146"/>
  <c r="K61" i="146"/>
  <c r="R61" i="146" s="1"/>
  <c r="T61" i="146" s="1"/>
  <c r="J61" i="146"/>
  <c r="L51" i="146"/>
  <c r="K51" i="146"/>
  <c r="J51" i="146"/>
  <c r="L50" i="146"/>
  <c r="K50" i="146"/>
  <c r="J50" i="146"/>
  <c r="L49" i="146"/>
  <c r="K49" i="146"/>
  <c r="R49" i="146" s="1"/>
  <c r="J49" i="146"/>
  <c r="L48" i="146"/>
  <c r="K48" i="146"/>
  <c r="R48" i="146" s="1"/>
  <c r="J48" i="146"/>
  <c r="L47" i="146"/>
  <c r="K47" i="146"/>
  <c r="J47" i="146"/>
  <c r="L45" i="146"/>
  <c r="K45" i="146"/>
  <c r="J45" i="146"/>
  <c r="L44" i="146"/>
  <c r="K44" i="146"/>
  <c r="R44" i="146" s="1"/>
  <c r="J44" i="146"/>
  <c r="K43" i="146"/>
  <c r="R43" i="146" s="1"/>
  <c r="J43" i="146"/>
  <c r="L42" i="146"/>
  <c r="K42" i="146"/>
  <c r="J42" i="146"/>
  <c r="L41" i="146"/>
  <c r="K41" i="146"/>
  <c r="R41" i="146" s="1"/>
  <c r="J41" i="146"/>
  <c r="L39" i="146"/>
  <c r="K39" i="146"/>
  <c r="R39" i="146" s="1"/>
  <c r="J39" i="146"/>
  <c r="L38" i="146"/>
  <c r="R38" i="146" s="1"/>
  <c r="K38" i="146"/>
  <c r="J38" i="146"/>
  <c r="L37" i="146"/>
  <c r="R37" i="146" s="1"/>
  <c r="T37" i="146" s="1"/>
  <c r="K37" i="146"/>
  <c r="J37" i="146"/>
  <c r="L36" i="146"/>
  <c r="K36" i="146"/>
  <c r="J36" i="146"/>
  <c r="L35" i="146"/>
  <c r="K35" i="146"/>
  <c r="J35" i="146"/>
  <c r="L33" i="146"/>
  <c r="K33" i="146"/>
  <c r="J33" i="146"/>
  <c r="L32" i="146"/>
  <c r="K32" i="146"/>
  <c r="J32" i="146"/>
  <c r="L31" i="146"/>
  <c r="K31" i="146"/>
  <c r="R31" i="146" s="1"/>
  <c r="J31" i="146"/>
  <c r="L30" i="146"/>
  <c r="K30" i="146"/>
  <c r="J30" i="146"/>
  <c r="L29" i="146"/>
  <c r="K29" i="146"/>
  <c r="R29" i="146" s="1"/>
  <c r="J29" i="146"/>
  <c r="J83" i="145"/>
  <c r="J82" i="145"/>
  <c r="J81" i="145"/>
  <c r="J80" i="145"/>
  <c r="J79" i="145"/>
  <c r="J77" i="145"/>
  <c r="J76" i="145"/>
  <c r="J75" i="145"/>
  <c r="J74" i="145"/>
  <c r="J73" i="145"/>
  <c r="T73" i="145" s="1"/>
  <c r="J71" i="145"/>
  <c r="J70" i="145"/>
  <c r="J69" i="145"/>
  <c r="J68" i="145"/>
  <c r="J67" i="145"/>
  <c r="J62" i="145"/>
  <c r="J63" i="145"/>
  <c r="J64" i="145"/>
  <c r="J65" i="145"/>
  <c r="J61" i="145"/>
  <c r="K61" i="145"/>
  <c r="L61" i="145"/>
  <c r="K62" i="145"/>
  <c r="R62" i="145" s="1"/>
  <c r="L62" i="145"/>
  <c r="K63" i="145"/>
  <c r="R63" i="145" s="1"/>
  <c r="L63" i="145"/>
  <c r="K64" i="145"/>
  <c r="L64" i="145"/>
  <c r="K65" i="145"/>
  <c r="L65" i="145"/>
  <c r="K67" i="145"/>
  <c r="R67" i="145" s="1"/>
  <c r="T67" i="145" s="1"/>
  <c r="L67" i="145"/>
  <c r="K68" i="145"/>
  <c r="L68" i="145"/>
  <c r="K69" i="145"/>
  <c r="L69" i="145"/>
  <c r="K70" i="145"/>
  <c r="R70" i="145" s="1"/>
  <c r="T70" i="145" s="1"/>
  <c r="L70" i="145"/>
  <c r="K71" i="145"/>
  <c r="L71" i="145"/>
  <c r="K73" i="145"/>
  <c r="L73" i="145"/>
  <c r="R73" i="145"/>
  <c r="K74" i="145"/>
  <c r="L74" i="145"/>
  <c r="K75" i="145"/>
  <c r="R75" i="145" s="1"/>
  <c r="T75" i="145" s="1"/>
  <c r="L75" i="145"/>
  <c r="K76" i="145"/>
  <c r="L76" i="145"/>
  <c r="R76" i="145"/>
  <c r="T76" i="145" s="1"/>
  <c r="K77" i="145"/>
  <c r="L77" i="145"/>
  <c r="R77" i="145" s="1"/>
  <c r="T77" i="145" s="1"/>
  <c r="K79" i="145"/>
  <c r="R79" i="145" s="1"/>
  <c r="T79" i="145" s="1"/>
  <c r="L79" i="145"/>
  <c r="K80" i="145"/>
  <c r="R80" i="145" s="1"/>
  <c r="L80" i="145"/>
  <c r="K81" i="145"/>
  <c r="L81" i="145"/>
  <c r="R81" i="145" s="1"/>
  <c r="K82" i="145"/>
  <c r="L82" i="145"/>
  <c r="K83" i="145"/>
  <c r="L83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5" i="145"/>
  <c r="K45" i="145"/>
  <c r="J45" i="145"/>
  <c r="L44" i="145"/>
  <c r="R44" i="145" s="1"/>
  <c r="K44" i="145"/>
  <c r="J44" i="145"/>
  <c r="K43" i="145"/>
  <c r="R43" i="145" s="1"/>
  <c r="J43" i="145"/>
  <c r="L42" i="145"/>
  <c r="K42" i="145"/>
  <c r="R42" i="145" s="1"/>
  <c r="T42" i="145" s="1"/>
  <c r="J42" i="145"/>
  <c r="L41" i="145"/>
  <c r="K41" i="145"/>
  <c r="J41" i="145"/>
  <c r="L39" i="145"/>
  <c r="K39" i="145"/>
  <c r="J39" i="145"/>
  <c r="L38" i="145"/>
  <c r="K38" i="145"/>
  <c r="J38" i="145"/>
  <c r="L37" i="145"/>
  <c r="K37" i="145"/>
  <c r="R37" i="145" s="1"/>
  <c r="J37" i="145"/>
  <c r="L36" i="145"/>
  <c r="K36" i="145"/>
  <c r="J36" i="145"/>
  <c r="L35" i="145"/>
  <c r="K35" i="145"/>
  <c r="J35" i="145"/>
  <c r="L33" i="145"/>
  <c r="K33" i="145"/>
  <c r="J33" i="145"/>
  <c r="L32" i="145"/>
  <c r="R32" i="145" s="1"/>
  <c r="T32" i="145" s="1"/>
  <c r="K32" i="145"/>
  <c r="J32" i="145"/>
  <c r="L31" i="145"/>
  <c r="K31" i="145"/>
  <c r="R31" i="145" s="1"/>
  <c r="J31" i="145"/>
  <c r="L30" i="145"/>
  <c r="K30" i="145"/>
  <c r="J30" i="145"/>
  <c r="L29" i="145"/>
  <c r="K29" i="145"/>
  <c r="J29" i="145"/>
  <c r="R47" i="145" l="1"/>
  <c r="T47" i="145" s="1"/>
  <c r="T29" i="146"/>
  <c r="R33" i="146"/>
  <c r="T33" i="146" s="1"/>
  <c r="R68" i="145"/>
  <c r="R61" i="145"/>
  <c r="T61" i="145" s="1"/>
  <c r="R83" i="145"/>
  <c r="T83" i="145" s="1"/>
  <c r="R74" i="145"/>
  <c r="R79" i="146"/>
  <c r="T79" i="146" s="1"/>
  <c r="R29" i="145"/>
  <c r="R83" i="146"/>
  <c r="T83" i="146" s="1"/>
  <c r="R82" i="145"/>
  <c r="T82" i="145" s="1"/>
  <c r="R30" i="146"/>
  <c r="T30" i="146" s="1"/>
  <c r="T34" i="146" s="1"/>
  <c r="AD33" i="146" s="1"/>
  <c r="T80" i="146"/>
  <c r="R30" i="145"/>
  <c r="R35" i="145"/>
  <c r="R49" i="145"/>
  <c r="R50" i="146"/>
  <c r="T50" i="146" s="1"/>
  <c r="R75" i="146"/>
  <c r="T75" i="146" s="1"/>
  <c r="R64" i="145"/>
  <c r="T64" i="145" s="1"/>
  <c r="R63" i="146"/>
  <c r="T63" i="146" s="1"/>
  <c r="T66" i="146" s="1"/>
  <c r="T76" i="146"/>
  <c r="T81" i="146"/>
  <c r="T84" i="146" s="1"/>
  <c r="T31" i="145"/>
  <c r="R45" i="145"/>
  <c r="T45" i="145" s="1"/>
  <c r="T68" i="146"/>
  <c r="R71" i="145"/>
  <c r="T71" i="145" s="1"/>
  <c r="R71" i="146"/>
  <c r="T71" i="146" s="1"/>
  <c r="T63" i="145"/>
  <c r="R32" i="146"/>
  <c r="T32" i="146" s="1"/>
  <c r="R64" i="146"/>
  <c r="T64" i="146" s="1"/>
  <c r="R73" i="146"/>
  <c r="T73" i="146" s="1"/>
  <c r="R77" i="146"/>
  <c r="T77" i="146" s="1"/>
  <c r="Z35" i="148"/>
  <c r="Z28" i="148" s="1"/>
  <c r="AI38" i="148" s="1"/>
  <c r="AI39" i="148" s="1"/>
  <c r="Y28" i="148"/>
  <c r="AH38" i="148" s="1"/>
  <c r="AH39" i="148" s="1"/>
  <c r="T34" i="147"/>
  <c r="T52" i="147"/>
  <c r="AD36" i="147" s="1"/>
  <c r="T40" i="147"/>
  <c r="T46" i="147"/>
  <c r="X64" i="147"/>
  <c r="AD64" i="147"/>
  <c r="AA64" i="147"/>
  <c r="AA60" i="147" s="1"/>
  <c r="AD67" i="147"/>
  <c r="Z64" i="147"/>
  <c r="Z60" i="147" s="1"/>
  <c r="AD33" i="147"/>
  <c r="R47" i="146"/>
  <c r="T47" i="146" s="1"/>
  <c r="T41" i="146"/>
  <c r="R35" i="146"/>
  <c r="T35" i="146" s="1"/>
  <c r="R45" i="146"/>
  <c r="T45" i="146" s="1"/>
  <c r="T31" i="146"/>
  <c r="T39" i="146"/>
  <c r="R42" i="146"/>
  <c r="T42" i="146" s="1"/>
  <c r="T44" i="146"/>
  <c r="T49" i="146"/>
  <c r="R51" i="146"/>
  <c r="T51" i="146" s="1"/>
  <c r="T48" i="146"/>
  <c r="R36" i="146"/>
  <c r="T36" i="146" s="1"/>
  <c r="T38" i="146"/>
  <c r="T43" i="146"/>
  <c r="T72" i="146"/>
  <c r="AD65" i="146" s="1"/>
  <c r="R65" i="145"/>
  <c r="T65" i="145" s="1"/>
  <c r="T66" i="145" s="1"/>
  <c r="X64" i="145" s="1"/>
  <c r="T74" i="145"/>
  <c r="T78" i="145" s="1"/>
  <c r="AD66" i="145" s="1"/>
  <c r="R69" i="145"/>
  <c r="T69" i="145" s="1"/>
  <c r="T72" i="145" s="1"/>
  <c r="T62" i="145"/>
  <c r="T80" i="145"/>
  <c r="T81" i="145"/>
  <c r="T84" i="145" s="1"/>
  <c r="T68" i="145"/>
  <c r="R39" i="145"/>
  <c r="T39" i="145" s="1"/>
  <c r="T43" i="145"/>
  <c r="T37" i="145"/>
  <c r="R36" i="145"/>
  <c r="T36" i="145" s="1"/>
  <c r="T30" i="145"/>
  <c r="T44" i="145"/>
  <c r="R51" i="145"/>
  <c r="T51" i="145" s="1"/>
  <c r="T49" i="145"/>
  <c r="T29" i="145"/>
  <c r="T35" i="145"/>
  <c r="R48" i="145"/>
  <c r="T48" i="145" s="1"/>
  <c r="R33" i="145"/>
  <c r="T33" i="145" s="1"/>
  <c r="R50" i="145"/>
  <c r="T50" i="145" s="1"/>
  <c r="R38" i="145"/>
  <c r="T38" i="145" s="1"/>
  <c r="R41" i="145"/>
  <c r="T41" i="145" s="1"/>
  <c r="L38" i="144"/>
  <c r="X34" i="147" l="1"/>
  <c r="T78" i="146"/>
  <c r="T40" i="146"/>
  <c r="AD35" i="147"/>
  <c r="Z34" i="147"/>
  <c r="Z28" i="147" s="1"/>
  <c r="AI38" i="147" s="1"/>
  <c r="AI39" i="147" s="1"/>
  <c r="AD34" i="147"/>
  <c r="Y34" i="147"/>
  <c r="Y28" i="147" s="1"/>
  <c r="AH38" i="147" s="1"/>
  <c r="AH39" i="147" s="1"/>
  <c r="X28" i="147"/>
  <c r="AG38" i="147" s="1"/>
  <c r="AG39" i="147" s="1"/>
  <c r="Y64" i="147"/>
  <c r="Y60" i="147" s="1"/>
  <c r="X60" i="147"/>
  <c r="T52" i="146"/>
  <c r="T46" i="146"/>
  <c r="AD35" i="146" s="1"/>
  <c r="X64" i="146"/>
  <c r="AD64" i="146"/>
  <c r="AA64" i="146"/>
  <c r="AA60" i="146" s="1"/>
  <c r="AD67" i="146"/>
  <c r="AD34" i="146"/>
  <c r="AD65" i="145"/>
  <c r="AA64" i="145"/>
  <c r="Z64" i="145"/>
  <c r="Y64" i="145" s="1"/>
  <c r="Y60" i="145" s="1"/>
  <c r="AD64" i="145"/>
  <c r="T52" i="145"/>
  <c r="T46" i="145"/>
  <c r="AD35" i="145" s="1"/>
  <c r="T40" i="145"/>
  <c r="AD34" i="145" s="1"/>
  <c r="T34" i="145"/>
  <c r="AD33" i="145" s="1"/>
  <c r="X60" i="145"/>
  <c r="AD67" i="145"/>
  <c r="AA60" i="145"/>
  <c r="L37" i="144"/>
  <c r="L83" i="144"/>
  <c r="R83" i="144" s="1"/>
  <c r="K83" i="144"/>
  <c r="J83" i="144"/>
  <c r="L82" i="144"/>
  <c r="K82" i="144"/>
  <c r="R82" i="144" s="1"/>
  <c r="T82" i="144" s="1"/>
  <c r="J82" i="144"/>
  <c r="L81" i="144"/>
  <c r="K81" i="144"/>
  <c r="R81" i="144" s="1"/>
  <c r="J81" i="144"/>
  <c r="L80" i="144"/>
  <c r="K80" i="144"/>
  <c r="J80" i="144"/>
  <c r="L79" i="144"/>
  <c r="K79" i="144"/>
  <c r="J79" i="144"/>
  <c r="L77" i="144"/>
  <c r="K77" i="144"/>
  <c r="J77" i="144"/>
  <c r="L76" i="144"/>
  <c r="K76" i="144"/>
  <c r="R76" i="144" s="1"/>
  <c r="J76" i="144"/>
  <c r="L75" i="144"/>
  <c r="R75" i="144" s="1"/>
  <c r="K75" i="144"/>
  <c r="J75" i="144"/>
  <c r="L74" i="144"/>
  <c r="K74" i="144"/>
  <c r="R74" i="144" s="1"/>
  <c r="T74" i="144" s="1"/>
  <c r="J74" i="144"/>
  <c r="L73" i="144"/>
  <c r="K73" i="144"/>
  <c r="J73" i="144"/>
  <c r="L71" i="144"/>
  <c r="K71" i="144"/>
  <c r="J71" i="144"/>
  <c r="L70" i="144"/>
  <c r="K70" i="144"/>
  <c r="R70" i="144" s="1"/>
  <c r="T70" i="144" s="1"/>
  <c r="J70" i="144"/>
  <c r="L69" i="144"/>
  <c r="K69" i="144"/>
  <c r="R69" i="144" s="1"/>
  <c r="T69" i="144" s="1"/>
  <c r="J69" i="144"/>
  <c r="L68" i="144"/>
  <c r="K68" i="144"/>
  <c r="J68" i="144"/>
  <c r="R67" i="144"/>
  <c r="T67" i="144" s="1"/>
  <c r="L67" i="144"/>
  <c r="K67" i="144"/>
  <c r="J67" i="144"/>
  <c r="L65" i="144"/>
  <c r="K65" i="144"/>
  <c r="R65" i="144" s="1"/>
  <c r="T65" i="144" s="1"/>
  <c r="J65" i="144"/>
  <c r="L64" i="144"/>
  <c r="K64" i="144"/>
  <c r="J64" i="144"/>
  <c r="L63" i="144"/>
  <c r="K63" i="144"/>
  <c r="J63" i="144"/>
  <c r="L62" i="144"/>
  <c r="K62" i="144"/>
  <c r="R62" i="144" s="1"/>
  <c r="T62" i="144" s="1"/>
  <c r="J62" i="144"/>
  <c r="L61" i="144"/>
  <c r="K61" i="144"/>
  <c r="R61" i="144" s="1"/>
  <c r="T61" i="144" s="1"/>
  <c r="J61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39" i="144"/>
  <c r="K39" i="144"/>
  <c r="J39" i="144"/>
  <c r="K38" i="144"/>
  <c r="J38" i="144"/>
  <c r="K37" i="144"/>
  <c r="R37" i="144" s="1"/>
  <c r="J37" i="144"/>
  <c r="L36" i="144"/>
  <c r="K36" i="144"/>
  <c r="J36" i="144"/>
  <c r="L35" i="144"/>
  <c r="K35" i="144"/>
  <c r="J35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50" i="143"/>
  <c r="L83" i="143"/>
  <c r="K83" i="143"/>
  <c r="R83" i="143" s="1"/>
  <c r="T83" i="143" s="1"/>
  <c r="J83" i="143"/>
  <c r="L82" i="143"/>
  <c r="R82" i="143" s="1"/>
  <c r="T82" i="143" s="1"/>
  <c r="K82" i="143"/>
  <c r="J82" i="143"/>
  <c r="L81" i="143"/>
  <c r="K81" i="143"/>
  <c r="R81" i="143" s="1"/>
  <c r="T81" i="143" s="1"/>
  <c r="J81" i="143"/>
  <c r="L80" i="143"/>
  <c r="K80" i="143"/>
  <c r="R80" i="143" s="1"/>
  <c r="T80" i="143" s="1"/>
  <c r="J80" i="143"/>
  <c r="L79" i="143"/>
  <c r="K79" i="143"/>
  <c r="R79" i="143" s="1"/>
  <c r="J79" i="143"/>
  <c r="R77" i="143"/>
  <c r="T77" i="143" s="1"/>
  <c r="L77" i="143"/>
  <c r="K77" i="143"/>
  <c r="J77" i="143"/>
  <c r="L76" i="143"/>
  <c r="K76" i="143"/>
  <c r="J76" i="143"/>
  <c r="L75" i="143"/>
  <c r="K75" i="143"/>
  <c r="J75" i="143"/>
  <c r="L74" i="143"/>
  <c r="K74" i="143"/>
  <c r="R74" i="143" s="1"/>
  <c r="T74" i="143" s="1"/>
  <c r="J74" i="143"/>
  <c r="R73" i="143"/>
  <c r="L73" i="143"/>
  <c r="K73" i="143"/>
  <c r="J73" i="143"/>
  <c r="L71" i="143"/>
  <c r="K71" i="143"/>
  <c r="J71" i="143"/>
  <c r="L70" i="143"/>
  <c r="K70" i="143"/>
  <c r="R70" i="143" s="1"/>
  <c r="J70" i="143"/>
  <c r="R69" i="143"/>
  <c r="T69" i="143" s="1"/>
  <c r="L69" i="143"/>
  <c r="K69" i="143"/>
  <c r="J69" i="143"/>
  <c r="L68" i="143"/>
  <c r="K68" i="143"/>
  <c r="R68" i="143" s="1"/>
  <c r="J68" i="143"/>
  <c r="L67" i="143"/>
  <c r="K67" i="143"/>
  <c r="J67" i="143"/>
  <c r="L65" i="143"/>
  <c r="K65" i="143"/>
  <c r="R65" i="143" s="1"/>
  <c r="T65" i="143" s="1"/>
  <c r="J65" i="143"/>
  <c r="R64" i="143"/>
  <c r="L64" i="143"/>
  <c r="K64" i="143"/>
  <c r="J64" i="143"/>
  <c r="T64" i="143" s="1"/>
  <c r="L63" i="143"/>
  <c r="K63" i="143"/>
  <c r="J63" i="143"/>
  <c r="L62" i="143"/>
  <c r="K62" i="143"/>
  <c r="R62" i="143" s="1"/>
  <c r="J62" i="143"/>
  <c r="L61" i="143"/>
  <c r="R61" i="143" s="1"/>
  <c r="T61" i="143" s="1"/>
  <c r="K61" i="143"/>
  <c r="J61" i="143"/>
  <c r="L51" i="143"/>
  <c r="K51" i="143"/>
  <c r="J51" i="143"/>
  <c r="K50" i="143"/>
  <c r="R50" i="143" s="1"/>
  <c r="J50" i="143"/>
  <c r="L49" i="143"/>
  <c r="K49" i="143"/>
  <c r="J49" i="143"/>
  <c r="L48" i="143"/>
  <c r="R48" i="143" s="1"/>
  <c r="K48" i="143"/>
  <c r="J48" i="143"/>
  <c r="L47" i="143"/>
  <c r="K47" i="143"/>
  <c r="R47" i="143" s="1"/>
  <c r="J47" i="143"/>
  <c r="L45" i="143"/>
  <c r="K45" i="143"/>
  <c r="J45" i="143"/>
  <c r="L44" i="143"/>
  <c r="K44" i="143"/>
  <c r="J44" i="143"/>
  <c r="L43" i="143"/>
  <c r="K43" i="143"/>
  <c r="J43" i="143"/>
  <c r="L42" i="143"/>
  <c r="K42" i="143"/>
  <c r="J42" i="143"/>
  <c r="L41" i="143"/>
  <c r="K41" i="143"/>
  <c r="J41" i="143"/>
  <c r="L39" i="143"/>
  <c r="K39" i="143"/>
  <c r="J39" i="143"/>
  <c r="L38" i="143"/>
  <c r="K38" i="143"/>
  <c r="J38" i="143"/>
  <c r="K37" i="143"/>
  <c r="J37" i="143"/>
  <c r="L36" i="143"/>
  <c r="K36" i="143"/>
  <c r="J36" i="143"/>
  <c r="L35" i="143"/>
  <c r="K35" i="143"/>
  <c r="J35" i="143"/>
  <c r="L33" i="143"/>
  <c r="K33" i="143"/>
  <c r="J33" i="143"/>
  <c r="L32" i="143"/>
  <c r="K32" i="143"/>
  <c r="J32" i="143"/>
  <c r="L31" i="143"/>
  <c r="K31" i="143"/>
  <c r="R31" i="143" s="1"/>
  <c r="J31" i="143"/>
  <c r="L30" i="143"/>
  <c r="K30" i="143"/>
  <c r="J30" i="143"/>
  <c r="L29" i="143"/>
  <c r="K29" i="143"/>
  <c r="J29" i="143"/>
  <c r="R77" i="144" l="1"/>
  <c r="T77" i="144" s="1"/>
  <c r="T79" i="143"/>
  <c r="R44" i="143"/>
  <c r="T44" i="143" s="1"/>
  <c r="R41" i="143"/>
  <c r="T41" i="143" s="1"/>
  <c r="T46" i="143" s="1"/>
  <c r="R67" i="143"/>
  <c r="T67" i="143" s="1"/>
  <c r="R75" i="143"/>
  <c r="T75" i="143" s="1"/>
  <c r="R79" i="144"/>
  <c r="T79" i="144" s="1"/>
  <c r="T84" i="144" s="1"/>
  <c r="T83" i="144"/>
  <c r="T62" i="143"/>
  <c r="T66" i="143" s="1"/>
  <c r="AD64" i="143" s="1"/>
  <c r="R63" i="143"/>
  <c r="T63" i="143" s="1"/>
  <c r="T68" i="143"/>
  <c r="T72" i="143" s="1"/>
  <c r="R71" i="143"/>
  <c r="T71" i="143" s="1"/>
  <c r="R80" i="144"/>
  <c r="T80" i="144" s="1"/>
  <c r="R76" i="143"/>
  <c r="T76" i="143" s="1"/>
  <c r="T75" i="144"/>
  <c r="R63" i="144"/>
  <c r="T63" i="144" s="1"/>
  <c r="R71" i="144"/>
  <c r="T71" i="144" s="1"/>
  <c r="T76" i="144"/>
  <c r="T81" i="144"/>
  <c r="R38" i="143"/>
  <c r="T38" i="143" s="1"/>
  <c r="R43" i="143"/>
  <c r="R68" i="144"/>
  <c r="T68" i="144" s="1"/>
  <c r="T72" i="144" s="1"/>
  <c r="AD66" i="146"/>
  <c r="Z64" i="146"/>
  <c r="Z60" i="146" s="1"/>
  <c r="T70" i="143"/>
  <c r="R33" i="143"/>
  <c r="T73" i="143"/>
  <c r="R64" i="144"/>
  <c r="T64" i="144" s="1"/>
  <c r="R73" i="144"/>
  <c r="T73" i="144" s="1"/>
  <c r="AA34" i="147"/>
  <c r="AA28" i="147" s="1"/>
  <c r="AJ38" i="147" s="1"/>
  <c r="AJ39" i="147" s="1"/>
  <c r="AD36" i="146"/>
  <c r="Z33" i="146"/>
  <c r="Z28" i="146" s="1"/>
  <c r="AI38" i="146" s="1"/>
  <c r="AI39" i="146" s="1"/>
  <c r="Y33" i="146"/>
  <c r="Y28" i="146" s="1"/>
  <c r="AH38" i="146" s="1"/>
  <c r="AH39" i="146" s="1"/>
  <c r="X33" i="146"/>
  <c r="Y64" i="146"/>
  <c r="Y60" i="146" s="1"/>
  <c r="X60" i="146"/>
  <c r="AD36" i="145"/>
  <c r="Z31" i="145"/>
  <c r="Z28" i="145" s="1"/>
  <c r="AI38" i="145" s="1"/>
  <c r="AI39" i="145" s="1"/>
  <c r="X31" i="145"/>
  <c r="Y31" i="145"/>
  <c r="Y28" i="145" s="1"/>
  <c r="AH38" i="145" s="1"/>
  <c r="AH39" i="145" s="1"/>
  <c r="Z60" i="145"/>
  <c r="R42" i="144"/>
  <c r="T42" i="144" s="1"/>
  <c r="T37" i="144"/>
  <c r="R45" i="144"/>
  <c r="T45" i="144" s="1"/>
  <c r="R47" i="144"/>
  <c r="T47" i="144" s="1"/>
  <c r="R50" i="144"/>
  <c r="T50" i="144" s="1"/>
  <c r="R36" i="144"/>
  <c r="T36" i="144" s="1"/>
  <c r="R44" i="144"/>
  <c r="T44" i="144" s="1"/>
  <c r="R49" i="144"/>
  <c r="T49" i="144" s="1"/>
  <c r="R35" i="144"/>
  <c r="T35" i="144" s="1"/>
  <c r="R29" i="144"/>
  <c r="T29" i="144" s="1"/>
  <c r="R33" i="144"/>
  <c r="T33" i="144" s="1"/>
  <c r="R43" i="144"/>
  <c r="T43" i="144" s="1"/>
  <c r="R38" i="144"/>
  <c r="T38" i="144" s="1"/>
  <c r="R30" i="144"/>
  <c r="T30" i="144" s="1"/>
  <c r="R39" i="144"/>
  <c r="T39" i="144" s="1"/>
  <c r="R51" i="144"/>
  <c r="T51" i="144" s="1"/>
  <c r="R32" i="144"/>
  <c r="T32" i="144" s="1"/>
  <c r="R48" i="144"/>
  <c r="T48" i="144" s="1"/>
  <c r="R31" i="144"/>
  <c r="T31" i="144" s="1"/>
  <c r="R41" i="144"/>
  <c r="T41" i="144" s="1"/>
  <c r="T66" i="144"/>
  <c r="R32" i="143"/>
  <c r="T32" i="143" s="1"/>
  <c r="R42" i="143"/>
  <c r="T42" i="143" s="1"/>
  <c r="R30" i="143"/>
  <c r="T30" i="143" s="1"/>
  <c r="R35" i="143"/>
  <c r="T35" i="143" s="1"/>
  <c r="R36" i="143"/>
  <c r="T36" i="143" s="1"/>
  <c r="R39" i="143"/>
  <c r="T39" i="143" s="1"/>
  <c r="T48" i="143"/>
  <c r="T33" i="143"/>
  <c r="T47" i="143"/>
  <c r="T50" i="143"/>
  <c r="T43" i="143"/>
  <c r="R49" i="143"/>
  <c r="T49" i="143" s="1"/>
  <c r="T31" i="143"/>
  <c r="R29" i="143"/>
  <c r="T29" i="143" s="1"/>
  <c r="R37" i="143"/>
  <c r="T37" i="143" s="1"/>
  <c r="R45" i="143"/>
  <c r="T45" i="143" s="1"/>
  <c r="R51" i="143"/>
  <c r="T51" i="143" s="1"/>
  <c r="T84" i="143"/>
  <c r="T78" i="143"/>
  <c r="AD66" i="143" s="1"/>
  <c r="T34" i="143" l="1"/>
  <c r="T78" i="144"/>
  <c r="AD66" i="144" s="1"/>
  <c r="AA33" i="146"/>
  <c r="AA28" i="146" s="1"/>
  <c r="AJ38" i="146" s="1"/>
  <c r="AJ39" i="146" s="1"/>
  <c r="X28" i="146"/>
  <c r="AG38" i="146" s="1"/>
  <c r="AG39" i="146" s="1"/>
  <c r="AA31" i="145"/>
  <c r="AA28" i="145" s="1"/>
  <c r="AJ38" i="145" s="1"/>
  <c r="AJ39" i="145" s="1"/>
  <c r="X28" i="145"/>
  <c r="AG38" i="145" s="1"/>
  <c r="AG39" i="145" s="1"/>
  <c r="T52" i="144"/>
  <c r="AD36" i="144" s="1"/>
  <c r="T34" i="144"/>
  <c r="T46" i="144"/>
  <c r="AD35" i="144" s="1"/>
  <c r="T40" i="144"/>
  <c r="AD34" i="144" s="1"/>
  <c r="AD64" i="144"/>
  <c r="AD65" i="144"/>
  <c r="AA65" i="144"/>
  <c r="AA60" i="144" s="1"/>
  <c r="AD67" i="144"/>
  <c r="T40" i="143"/>
  <c r="AD34" i="143" s="1"/>
  <c r="T52" i="143"/>
  <c r="AD67" i="143"/>
  <c r="AA65" i="143"/>
  <c r="AA60" i="143" s="1"/>
  <c r="X65" i="143"/>
  <c r="AD65" i="143"/>
  <c r="Y65" i="143"/>
  <c r="Y60" i="143" s="1"/>
  <c r="AD33" i="143"/>
  <c r="AD35" i="143"/>
  <c r="L83" i="142"/>
  <c r="R83" i="142" s="1"/>
  <c r="T83" i="142" s="1"/>
  <c r="K83" i="142"/>
  <c r="J83" i="142"/>
  <c r="L82" i="142"/>
  <c r="K82" i="142"/>
  <c r="R82" i="142" s="1"/>
  <c r="T82" i="142" s="1"/>
  <c r="J82" i="142"/>
  <c r="L81" i="142"/>
  <c r="K81" i="142"/>
  <c r="J81" i="142"/>
  <c r="L80" i="142"/>
  <c r="K80" i="142"/>
  <c r="R80" i="142" s="1"/>
  <c r="J80" i="142"/>
  <c r="L79" i="142"/>
  <c r="R79" i="142" s="1"/>
  <c r="T79" i="142" s="1"/>
  <c r="K79" i="142"/>
  <c r="J79" i="142"/>
  <c r="L77" i="142"/>
  <c r="K77" i="142"/>
  <c r="J77" i="142"/>
  <c r="L76" i="142"/>
  <c r="K76" i="142"/>
  <c r="J76" i="142"/>
  <c r="L75" i="142"/>
  <c r="K75" i="142"/>
  <c r="J75" i="142"/>
  <c r="R74" i="142"/>
  <c r="T74" i="142" s="1"/>
  <c r="L74" i="142"/>
  <c r="K74" i="142"/>
  <c r="J74" i="142"/>
  <c r="L73" i="142"/>
  <c r="K73" i="142"/>
  <c r="R73" i="142" s="1"/>
  <c r="J73" i="142"/>
  <c r="L71" i="142"/>
  <c r="R71" i="142" s="1"/>
  <c r="K71" i="142"/>
  <c r="J71" i="142"/>
  <c r="L70" i="142"/>
  <c r="K70" i="142"/>
  <c r="R70" i="142" s="1"/>
  <c r="T70" i="142" s="1"/>
  <c r="J70" i="142"/>
  <c r="L69" i="142"/>
  <c r="K69" i="142"/>
  <c r="R69" i="142" s="1"/>
  <c r="J69" i="142"/>
  <c r="L68" i="142"/>
  <c r="K68" i="142"/>
  <c r="R68" i="142" s="1"/>
  <c r="T68" i="142" s="1"/>
  <c r="J68" i="142"/>
  <c r="L67" i="142"/>
  <c r="K67" i="142"/>
  <c r="R67" i="142" s="1"/>
  <c r="T67" i="142" s="1"/>
  <c r="J67" i="142"/>
  <c r="R65" i="142"/>
  <c r="T65" i="142" s="1"/>
  <c r="L65" i="142"/>
  <c r="K65" i="142"/>
  <c r="J65" i="142"/>
  <c r="L64" i="142"/>
  <c r="K64" i="142"/>
  <c r="R64" i="142" s="1"/>
  <c r="J64" i="142"/>
  <c r="L63" i="142"/>
  <c r="R63" i="142" s="1"/>
  <c r="K63" i="142"/>
  <c r="J63" i="142"/>
  <c r="L62" i="142"/>
  <c r="K62" i="142"/>
  <c r="R62" i="142" s="1"/>
  <c r="T62" i="142" s="1"/>
  <c r="J62" i="142"/>
  <c r="L61" i="142"/>
  <c r="K61" i="142"/>
  <c r="R61" i="142" s="1"/>
  <c r="T61" i="142" s="1"/>
  <c r="J61" i="142"/>
  <c r="L51" i="142"/>
  <c r="K51" i="142"/>
  <c r="J51" i="142"/>
  <c r="K50" i="142"/>
  <c r="J50" i="142"/>
  <c r="L49" i="142"/>
  <c r="K49" i="142"/>
  <c r="R49" i="142" s="1"/>
  <c r="J49" i="142"/>
  <c r="L48" i="142"/>
  <c r="K48" i="142"/>
  <c r="R48" i="142" s="1"/>
  <c r="J48" i="142"/>
  <c r="L47" i="142"/>
  <c r="K47" i="142"/>
  <c r="J47" i="142"/>
  <c r="L45" i="142"/>
  <c r="R45" i="142" s="1"/>
  <c r="K45" i="142"/>
  <c r="J45" i="142"/>
  <c r="L44" i="142"/>
  <c r="K44" i="142"/>
  <c r="J44" i="142"/>
  <c r="L43" i="142"/>
  <c r="K43" i="142"/>
  <c r="R43" i="142" s="1"/>
  <c r="J43" i="142"/>
  <c r="L42" i="142"/>
  <c r="K42" i="142"/>
  <c r="J42" i="142"/>
  <c r="L41" i="142"/>
  <c r="K41" i="142"/>
  <c r="J41" i="142"/>
  <c r="L39" i="142"/>
  <c r="K39" i="142"/>
  <c r="J39" i="142"/>
  <c r="L38" i="142"/>
  <c r="K38" i="142"/>
  <c r="J38" i="142"/>
  <c r="L37" i="142"/>
  <c r="K37" i="142"/>
  <c r="J37" i="142"/>
  <c r="L36" i="142"/>
  <c r="K36" i="142"/>
  <c r="J36" i="142"/>
  <c r="L35" i="142"/>
  <c r="K35" i="142"/>
  <c r="R35" i="142" s="1"/>
  <c r="J35" i="142"/>
  <c r="L33" i="142"/>
  <c r="K33" i="142"/>
  <c r="J33" i="142"/>
  <c r="L32" i="142"/>
  <c r="K32" i="142"/>
  <c r="R32" i="142" s="1"/>
  <c r="J32" i="142"/>
  <c r="L31" i="142"/>
  <c r="K31" i="142"/>
  <c r="J31" i="142"/>
  <c r="L30" i="142"/>
  <c r="K30" i="142"/>
  <c r="J30" i="142"/>
  <c r="L29" i="142"/>
  <c r="K29" i="142"/>
  <c r="R29" i="142" s="1"/>
  <c r="J29" i="142"/>
  <c r="L83" i="141"/>
  <c r="K83" i="141"/>
  <c r="R83" i="141" s="1"/>
  <c r="J83" i="141"/>
  <c r="L82" i="141"/>
  <c r="K82" i="141"/>
  <c r="J82" i="141"/>
  <c r="L81" i="141"/>
  <c r="K81" i="141"/>
  <c r="R81" i="141" s="1"/>
  <c r="T81" i="141" s="1"/>
  <c r="J81" i="141"/>
  <c r="L80" i="141"/>
  <c r="K80" i="141"/>
  <c r="J80" i="141"/>
  <c r="L79" i="141"/>
  <c r="K79" i="141"/>
  <c r="R79" i="141" s="1"/>
  <c r="J79" i="141"/>
  <c r="R77" i="141"/>
  <c r="T77" i="141" s="1"/>
  <c r="L77" i="141"/>
  <c r="K77" i="141"/>
  <c r="J77" i="141"/>
  <c r="L76" i="141"/>
  <c r="K76" i="141"/>
  <c r="R76" i="141" s="1"/>
  <c r="T76" i="141" s="1"/>
  <c r="J76" i="141"/>
  <c r="L75" i="141"/>
  <c r="K75" i="141"/>
  <c r="J75" i="141"/>
  <c r="L74" i="141"/>
  <c r="K74" i="141"/>
  <c r="J74" i="141"/>
  <c r="L73" i="141"/>
  <c r="K73" i="141"/>
  <c r="R73" i="141" s="1"/>
  <c r="T73" i="141" s="1"/>
  <c r="J73" i="141"/>
  <c r="L71" i="141"/>
  <c r="K71" i="141"/>
  <c r="J71" i="141"/>
  <c r="L70" i="141"/>
  <c r="K70" i="141"/>
  <c r="J70" i="141"/>
  <c r="L69" i="141"/>
  <c r="R69" i="141" s="1"/>
  <c r="T69" i="141" s="1"/>
  <c r="K69" i="141"/>
  <c r="J69" i="141"/>
  <c r="L68" i="141"/>
  <c r="K68" i="141"/>
  <c r="R68" i="141" s="1"/>
  <c r="J68" i="141"/>
  <c r="L67" i="141"/>
  <c r="R67" i="141" s="1"/>
  <c r="T67" i="141" s="1"/>
  <c r="K67" i="141"/>
  <c r="J67" i="141"/>
  <c r="L65" i="141"/>
  <c r="K65" i="141"/>
  <c r="J65" i="141"/>
  <c r="L64" i="141"/>
  <c r="K64" i="141"/>
  <c r="J64" i="141"/>
  <c r="L63" i="141"/>
  <c r="K63" i="141"/>
  <c r="R63" i="141" s="1"/>
  <c r="J63" i="141"/>
  <c r="L62" i="141"/>
  <c r="R62" i="141" s="1"/>
  <c r="T62" i="141" s="1"/>
  <c r="K62" i="141"/>
  <c r="J62" i="141"/>
  <c r="L61" i="141"/>
  <c r="K61" i="141"/>
  <c r="R61" i="141" s="1"/>
  <c r="T61" i="141" s="1"/>
  <c r="J61" i="141"/>
  <c r="L51" i="141"/>
  <c r="K51" i="141"/>
  <c r="R51" i="141" s="1"/>
  <c r="J51" i="141"/>
  <c r="K50" i="141"/>
  <c r="R50" i="141" s="1"/>
  <c r="J50" i="141"/>
  <c r="L49" i="141"/>
  <c r="K49" i="141"/>
  <c r="R49" i="141" s="1"/>
  <c r="T49" i="141" s="1"/>
  <c r="J49" i="141"/>
  <c r="L48" i="141"/>
  <c r="K48" i="141"/>
  <c r="J48" i="141"/>
  <c r="L47" i="141"/>
  <c r="K47" i="141"/>
  <c r="R47" i="141" s="1"/>
  <c r="J47" i="141"/>
  <c r="L45" i="141"/>
  <c r="K45" i="141"/>
  <c r="R45" i="141" s="1"/>
  <c r="T45" i="141" s="1"/>
  <c r="J45" i="141"/>
  <c r="L44" i="141"/>
  <c r="K44" i="141"/>
  <c r="R44" i="141" s="1"/>
  <c r="J44" i="141"/>
  <c r="L43" i="141"/>
  <c r="K43" i="141"/>
  <c r="J43" i="141"/>
  <c r="L42" i="141"/>
  <c r="K42" i="141"/>
  <c r="J42" i="141"/>
  <c r="L41" i="141"/>
  <c r="K41" i="141"/>
  <c r="J41" i="141"/>
  <c r="L39" i="141"/>
  <c r="K39" i="141"/>
  <c r="R39" i="141" s="1"/>
  <c r="J39" i="141"/>
  <c r="L38" i="141"/>
  <c r="K38" i="141"/>
  <c r="J38" i="141"/>
  <c r="L37" i="141"/>
  <c r="K37" i="141"/>
  <c r="R37" i="141" s="1"/>
  <c r="J37" i="141"/>
  <c r="L36" i="141"/>
  <c r="K36" i="141"/>
  <c r="J36" i="141"/>
  <c r="L35" i="141"/>
  <c r="K35" i="141"/>
  <c r="R35" i="141" s="1"/>
  <c r="J35" i="141"/>
  <c r="L33" i="141"/>
  <c r="K33" i="141"/>
  <c r="J33" i="141"/>
  <c r="L32" i="141"/>
  <c r="K32" i="141"/>
  <c r="J32" i="141"/>
  <c r="L31" i="141"/>
  <c r="K31" i="141"/>
  <c r="R31" i="141" s="1"/>
  <c r="T31" i="141" s="1"/>
  <c r="J31" i="141"/>
  <c r="L30" i="141"/>
  <c r="K30" i="141"/>
  <c r="J30" i="141"/>
  <c r="L29" i="141"/>
  <c r="K29" i="141"/>
  <c r="R29" i="141" s="1"/>
  <c r="J29" i="141"/>
  <c r="R71" i="141" l="1"/>
  <c r="T71" i="141" s="1"/>
  <c r="R33" i="141"/>
  <c r="T33" i="141" s="1"/>
  <c r="R82" i="141"/>
  <c r="T82" i="141" s="1"/>
  <c r="T64" i="142"/>
  <c r="T73" i="142"/>
  <c r="T68" i="141"/>
  <c r="R77" i="142"/>
  <c r="T77" i="142" s="1"/>
  <c r="T69" i="142"/>
  <c r="T63" i="141"/>
  <c r="T66" i="141" s="1"/>
  <c r="T29" i="142"/>
  <c r="T37" i="141"/>
  <c r="R64" i="141"/>
  <c r="T64" i="141" s="1"/>
  <c r="AD36" i="143"/>
  <c r="AA29" i="143"/>
  <c r="T80" i="142"/>
  <c r="R74" i="141"/>
  <c r="T74" i="141" s="1"/>
  <c r="T78" i="141" s="1"/>
  <c r="AD66" i="141" s="1"/>
  <c r="T39" i="141"/>
  <c r="R75" i="142"/>
  <c r="T75" i="142" s="1"/>
  <c r="T79" i="141"/>
  <c r="T84" i="141" s="1"/>
  <c r="R65" i="141"/>
  <c r="T65" i="141" s="1"/>
  <c r="T83" i="141"/>
  <c r="R70" i="141"/>
  <c r="T70" i="141" s="1"/>
  <c r="T72" i="141" s="1"/>
  <c r="R75" i="141"/>
  <c r="T75" i="141" s="1"/>
  <c r="R36" i="142"/>
  <c r="R41" i="142"/>
  <c r="T41" i="142" s="1"/>
  <c r="Y65" i="144"/>
  <c r="Y60" i="144" s="1"/>
  <c r="X29" i="143"/>
  <c r="T35" i="141"/>
  <c r="R80" i="141"/>
  <c r="T80" i="141" s="1"/>
  <c r="T63" i="142"/>
  <c r="T71" i="142"/>
  <c r="R76" i="142"/>
  <c r="T76" i="142" s="1"/>
  <c r="R81" i="142"/>
  <c r="T81" i="142" s="1"/>
  <c r="T84" i="142" s="1"/>
  <c r="X65" i="144"/>
  <c r="Z65" i="144" s="1"/>
  <c r="Z60" i="144" s="1"/>
  <c r="Z29" i="143"/>
  <c r="Z28" i="143" s="1"/>
  <c r="AI38" i="143" s="1"/>
  <c r="AI39" i="143" s="1"/>
  <c r="AD33" i="144"/>
  <c r="AA28" i="144"/>
  <c r="AJ38" i="144" s="1"/>
  <c r="AJ39" i="144" s="1"/>
  <c r="Z28" i="144"/>
  <c r="AI38" i="144" s="1"/>
  <c r="AI39" i="144" s="1"/>
  <c r="X28" i="143"/>
  <c r="AA28" i="143"/>
  <c r="Z65" i="143"/>
  <c r="Z60" i="143" s="1"/>
  <c r="X60" i="143"/>
  <c r="R44" i="142"/>
  <c r="T44" i="142" s="1"/>
  <c r="R37" i="142"/>
  <c r="T37" i="142" s="1"/>
  <c r="T49" i="142"/>
  <c r="R33" i="142"/>
  <c r="T45" i="142"/>
  <c r="T33" i="142"/>
  <c r="R50" i="142"/>
  <c r="T50" i="142" s="1"/>
  <c r="T35" i="142"/>
  <c r="T43" i="142"/>
  <c r="T32" i="142"/>
  <c r="T48" i="142"/>
  <c r="R30" i="142"/>
  <c r="T30" i="142" s="1"/>
  <c r="T36" i="142"/>
  <c r="R38" i="142"/>
  <c r="T38" i="142" s="1"/>
  <c r="R51" i="142"/>
  <c r="T51" i="142" s="1"/>
  <c r="R31" i="142"/>
  <c r="T31" i="142" s="1"/>
  <c r="R39" i="142"/>
  <c r="T39" i="142" s="1"/>
  <c r="R42" i="142"/>
  <c r="T42" i="142" s="1"/>
  <c r="R47" i="142"/>
  <c r="T47" i="142" s="1"/>
  <c r="T72" i="142"/>
  <c r="T66" i="142"/>
  <c r="T29" i="141"/>
  <c r="R42" i="141"/>
  <c r="T42" i="141" s="1"/>
  <c r="T47" i="141"/>
  <c r="R41" i="141"/>
  <c r="T41" i="141" s="1"/>
  <c r="T44" i="141"/>
  <c r="T51" i="141"/>
  <c r="R30" i="141"/>
  <c r="T30" i="141" s="1"/>
  <c r="R36" i="141"/>
  <c r="T36" i="141" s="1"/>
  <c r="R38" i="141"/>
  <c r="T38" i="141" s="1"/>
  <c r="R43" i="141"/>
  <c r="T43" i="141" s="1"/>
  <c r="R32" i="141"/>
  <c r="T32" i="141" s="1"/>
  <c r="R48" i="141"/>
  <c r="T48" i="141" s="1"/>
  <c r="T50" i="141"/>
  <c r="T34" i="141" l="1"/>
  <c r="T46" i="141"/>
  <c r="T78" i="142"/>
  <c r="AD66" i="142" s="1"/>
  <c r="X60" i="144"/>
  <c r="Y29" i="143"/>
  <c r="Y28" i="143" s="1"/>
  <c r="AH38" i="143" s="1"/>
  <c r="AH39" i="143" s="1"/>
  <c r="T40" i="141"/>
  <c r="X28" i="144"/>
  <c r="AG38" i="144" s="1"/>
  <c r="AG39" i="144" s="1"/>
  <c r="Y28" i="144"/>
  <c r="AH38" i="144" s="1"/>
  <c r="AH39" i="144" s="1"/>
  <c r="AJ38" i="143"/>
  <c r="AJ39" i="143" s="1"/>
  <c r="AG38" i="143"/>
  <c r="AG39" i="143" s="1"/>
  <c r="T34" i="142"/>
  <c r="X36" i="142" s="1"/>
  <c r="T40" i="142"/>
  <c r="T46" i="142"/>
  <c r="T52" i="142"/>
  <c r="AD36" i="142" s="1"/>
  <c r="AD64" i="142"/>
  <c r="X65" i="142"/>
  <c r="AD65" i="142"/>
  <c r="AA65" i="142"/>
  <c r="AA60" i="142" s="1"/>
  <c r="AD67" i="142"/>
  <c r="T52" i="141"/>
  <c r="AD36" i="141" s="1"/>
  <c r="AD33" i="141"/>
  <c r="AD67" i="141"/>
  <c r="AA65" i="141"/>
  <c r="AA60" i="141" s="1"/>
  <c r="AD65" i="141"/>
  <c r="Y65" i="141"/>
  <c r="Y60" i="141" s="1"/>
  <c r="X65" i="141"/>
  <c r="AD64" i="141"/>
  <c r="AD35" i="141"/>
  <c r="L83" i="139"/>
  <c r="R83" i="139" s="1"/>
  <c r="K83" i="139"/>
  <c r="J83" i="139"/>
  <c r="L82" i="139"/>
  <c r="R82" i="139" s="1"/>
  <c r="T82" i="139" s="1"/>
  <c r="K82" i="139"/>
  <c r="J82" i="139"/>
  <c r="L81" i="139"/>
  <c r="K81" i="139"/>
  <c r="R81" i="139" s="1"/>
  <c r="J81" i="139"/>
  <c r="L80" i="139"/>
  <c r="K80" i="139"/>
  <c r="R80" i="139" s="1"/>
  <c r="J80" i="139"/>
  <c r="L79" i="139"/>
  <c r="K79" i="139"/>
  <c r="J79" i="139"/>
  <c r="L77" i="139"/>
  <c r="K77" i="139"/>
  <c r="J77" i="139"/>
  <c r="L76" i="139"/>
  <c r="K76" i="139"/>
  <c r="R76" i="139" s="1"/>
  <c r="J76" i="139"/>
  <c r="L75" i="139"/>
  <c r="K75" i="139"/>
  <c r="J75" i="139"/>
  <c r="L74" i="139"/>
  <c r="K74" i="139"/>
  <c r="R74" i="139" s="1"/>
  <c r="T74" i="139" s="1"/>
  <c r="J74" i="139"/>
  <c r="L73" i="139"/>
  <c r="K73" i="139"/>
  <c r="J73" i="139"/>
  <c r="L71" i="139"/>
  <c r="K71" i="139"/>
  <c r="J71" i="139"/>
  <c r="L70" i="139"/>
  <c r="K70" i="139"/>
  <c r="R70" i="139" s="1"/>
  <c r="T70" i="139" s="1"/>
  <c r="J70" i="139"/>
  <c r="L69" i="139"/>
  <c r="K69" i="139"/>
  <c r="R69" i="139" s="1"/>
  <c r="T69" i="139" s="1"/>
  <c r="J69" i="139"/>
  <c r="L68" i="139"/>
  <c r="K68" i="139"/>
  <c r="R68" i="139" s="1"/>
  <c r="J68" i="139"/>
  <c r="R67" i="139"/>
  <c r="T67" i="139" s="1"/>
  <c r="L67" i="139"/>
  <c r="K67" i="139"/>
  <c r="J67" i="139"/>
  <c r="L65" i="139"/>
  <c r="K65" i="139"/>
  <c r="R65" i="139" s="1"/>
  <c r="T65" i="139" s="1"/>
  <c r="J65" i="139"/>
  <c r="L64" i="139"/>
  <c r="K64" i="139"/>
  <c r="J64" i="139"/>
  <c r="L63" i="139"/>
  <c r="K63" i="139"/>
  <c r="J63" i="139"/>
  <c r="L62" i="139"/>
  <c r="K62" i="139"/>
  <c r="R62" i="139" s="1"/>
  <c r="T62" i="139" s="1"/>
  <c r="J62" i="139"/>
  <c r="L61" i="139"/>
  <c r="K61" i="139"/>
  <c r="R61" i="139" s="1"/>
  <c r="T61" i="139" s="1"/>
  <c r="J61" i="139"/>
  <c r="L51" i="139"/>
  <c r="K51" i="139"/>
  <c r="J51" i="139"/>
  <c r="L50" i="139"/>
  <c r="K50" i="139"/>
  <c r="J50" i="139"/>
  <c r="L49" i="139"/>
  <c r="K49" i="139"/>
  <c r="J49" i="139"/>
  <c r="L48" i="139"/>
  <c r="K48" i="139"/>
  <c r="R48" i="139" s="1"/>
  <c r="J48" i="139"/>
  <c r="L47" i="139"/>
  <c r="K47" i="139"/>
  <c r="J47" i="139"/>
  <c r="L45" i="139"/>
  <c r="K45" i="139"/>
  <c r="J45" i="139"/>
  <c r="L44" i="139"/>
  <c r="K44" i="139"/>
  <c r="J44" i="139"/>
  <c r="L43" i="139"/>
  <c r="K43" i="139"/>
  <c r="J43" i="139"/>
  <c r="L42" i="139"/>
  <c r="K42" i="139"/>
  <c r="R42" i="139" s="1"/>
  <c r="J42" i="139"/>
  <c r="L41" i="139"/>
  <c r="K41" i="139"/>
  <c r="J41" i="139"/>
  <c r="L39" i="139"/>
  <c r="K39" i="139"/>
  <c r="J39" i="139"/>
  <c r="L38" i="139"/>
  <c r="K38" i="139"/>
  <c r="J38" i="139"/>
  <c r="L37" i="139"/>
  <c r="K37" i="139"/>
  <c r="J37" i="139"/>
  <c r="L36" i="139"/>
  <c r="K36" i="139"/>
  <c r="J36" i="139"/>
  <c r="L35" i="139"/>
  <c r="K35" i="139"/>
  <c r="J35" i="139"/>
  <c r="L33" i="139"/>
  <c r="K33" i="139"/>
  <c r="R33" i="139" s="1"/>
  <c r="J33" i="139"/>
  <c r="L32" i="139"/>
  <c r="K32" i="139"/>
  <c r="J32" i="139"/>
  <c r="L31" i="139"/>
  <c r="K31" i="139"/>
  <c r="J31" i="139"/>
  <c r="L30" i="139"/>
  <c r="K30" i="139"/>
  <c r="R30" i="139" s="1"/>
  <c r="T30" i="139" s="1"/>
  <c r="J30" i="139"/>
  <c r="L29" i="139"/>
  <c r="K29" i="139"/>
  <c r="J29" i="139"/>
  <c r="AD34" i="142" l="1"/>
  <c r="Y36" i="142"/>
  <c r="Y28" i="142" s="1"/>
  <c r="AH37" i="142" s="1"/>
  <c r="AH38" i="142" s="1"/>
  <c r="AA36" i="142"/>
  <c r="R79" i="139"/>
  <c r="T79" i="139" s="1"/>
  <c r="T83" i="139"/>
  <c r="T80" i="139"/>
  <c r="R45" i="139"/>
  <c r="R50" i="139"/>
  <c r="R75" i="139"/>
  <c r="T75" i="139" s="1"/>
  <c r="Y65" i="142"/>
  <c r="Y60" i="142" s="1"/>
  <c r="AD34" i="141"/>
  <c r="Y35" i="141"/>
  <c r="Y28" i="141" s="1"/>
  <c r="AH37" i="141" s="1"/>
  <c r="AH38" i="141" s="1"/>
  <c r="R63" i="139"/>
  <c r="T63" i="139" s="1"/>
  <c r="T81" i="139"/>
  <c r="T76" i="139"/>
  <c r="T42" i="139"/>
  <c r="T68" i="139"/>
  <c r="AD33" i="142"/>
  <c r="R64" i="139"/>
  <c r="T64" i="139" s="1"/>
  <c r="R73" i="139"/>
  <c r="T73" i="139" s="1"/>
  <c r="Z35" i="141"/>
  <c r="Z28" i="141" s="1"/>
  <c r="AI37" i="141" s="1"/>
  <c r="AI38" i="141" s="1"/>
  <c r="R71" i="139"/>
  <c r="T71" i="139" s="1"/>
  <c r="T72" i="139" s="1"/>
  <c r="R77" i="139"/>
  <c r="T77" i="139" s="1"/>
  <c r="AD35" i="142"/>
  <c r="Z36" i="142"/>
  <c r="Z28" i="142" s="1"/>
  <c r="AI37" i="142" s="1"/>
  <c r="AI38" i="142" s="1"/>
  <c r="X35" i="141"/>
  <c r="X60" i="142"/>
  <c r="AA28" i="142"/>
  <c r="AJ37" i="142" s="1"/>
  <c r="AJ38" i="142" s="1"/>
  <c r="X28" i="142"/>
  <c r="AG37" i="142" s="1"/>
  <c r="AG38" i="142" s="1"/>
  <c r="X60" i="141"/>
  <c r="Z65" i="141"/>
  <c r="Z60" i="141" s="1"/>
  <c r="X28" i="141"/>
  <c r="AG37" i="141" s="1"/>
  <c r="AG38" i="141" s="1"/>
  <c r="T45" i="139"/>
  <c r="T50" i="139"/>
  <c r="R38" i="139"/>
  <c r="T38" i="139" s="1"/>
  <c r="R49" i="139"/>
  <c r="T33" i="139"/>
  <c r="R47" i="139"/>
  <c r="T47" i="139" s="1"/>
  <c r="R44" i="139"/>
  <c r="T44" i="139" s="1"/>
  <c r="R32" i="139"/>
  <c r="T32" i="139" s="1"/>
  <c r="R37" i="139"/>
  <c r="T37" i="139" s="1"/>
  <c r="R39" i="139"/>
  <c r="T39" i="139" s="1"/>
  <c r="T49" i="139"/>
  <c r="R51" i="139"/>
  <c r="T51" i="139" s="1"/>
  <c r="T48" i="139"/>
  <c r="R29" i="139"/>
  <c r="T29" i="139" s="1"/>
  <c r="R31" i="139"/>
  <c r="T31" i="139" s="1"/>
  <c r="R35" i="139"/>
  <c r="T35" i="139" s="1"/>
  <c r="R36" i="139"/>
  <c r="T36" i="139" s="1"/>
  <c r="R41" i="139"/>
  <c r="T41" i="139" s="1"/>
  <c r="R43" i="139"/>
  <c r="T43" i="139" s="1"/>
  <c r="T84" i="139"/>
  <c r="T66" i="139"/>
  <c r="T78" i="139" l="1"/>
  <c r="AD66" i="139" s="1"/>
  <c r="Z65" i="142"/>
  <c r="Z60" i="142" s="1"/>
  <c r="AA35" i="141"/>
  <c r="AA28" i="141" s="1"/>
  <c r="AJ37" i="141" s="1"/>
  <c r="AJ38" i="141" s="1"/>
  <c r="T52" i="139"/>
  <c r="AD36" i="139" s="1"/>
  <c r="T34" i="139"/>
  <c r="T46" i="139"/>
  <c r="T40" i="139"/>
  <c r="AA65" i="139"/>
  <c r="AA60" i="139" s="1"/>
  <c r="AD67" i="139"/>
  <c r="Y65" i="139"/>
  <c r="Y60" i="139" s="1"/>
  <c r="AD65" i="139"/>
  <c r="AD64" i="139"/>
  <c r="X65" i="139"/>
  <c r="AD34" i="139" l="1"/>
  <c r="Y34" i="139"/>
  <c r="AD33" i="139"/>
  <c r="X34" i="139"/>
  <c r="AD35" i="139"/>
  <c r="Z34" i="139"/>
  <c r="Z28" i="139" s="1"/>
  <c r="AI37" i="139" s="1"/>
  <c r="AI38" i="139" s="1"/>
  <c r="Z65" i="139"/>
  <c r="Z60" i="139" s="1"/>
  <c r="X60" i="139"/>
  <c r="Y28" i="139"/>
  <c r="AH37" i="139" s="1"/>
  <c r="AH38" i="139" s="1"/>
  <c r="X28" i="139"/>
  <c r="AG37" i="139" s="1"/>
  <c r="AG38" i="139" s="1"/>
  <c r="AA34" i="139" l="1"/>
  <c r="AA28" i="139" s="1"/>
  <c r="AJ37" i="139" s="1"/>
  <c r="AJ38" i="139" s="1"/>
  <c r="L31" i="138"/>
  <c r="L83" i="138"/>
  <c r="K83" i="138"/>
  <c r="R83" i="138" s="1"/>
  <c r="J83" i="138"/>
  <c r="L82" i="138"/>
  <c r="K82" i="138"/>
  <c r="R82" i="138" s="1"/>
  <c r="J82" i="138"/>
  <c r="L81" i="138"/>
  <c r="K81" i="138"/>
  <c r="R81" i="138" s="1"/>
  <c r="T81" i="138" s="1"/>
  <c r="J81" i="138"/>
  <c r="L80" i="138"/>
  <c r="K80" i="138"/>
  <c r="J80" i="138"/>
  <c r="L79" i="138"/>
  <c r="K79" i="138"/>
  <c r="J79" i="138"/>
  <c r="L77" i="138"/>
  <c r="K77" i="138"/>
  <c r="J77" i="138"/>
  <c r="L76" i="138"/>
  <c r="K76" i="138"/>
  <c r="J76" i="138"/>
  <c r="L75" i="138"/>
  <c r="K75" i="138"/>
  <c r="J75" i="138"/>
  <c r="L74" i="138"/>
  <c r="K74" i="138"/>
  <c r="J74" i="138"/>
  <c r="L73" i="138"/>
  <c r="K73" i="138"/>
  <c r="R73" i="138" s="1"/>
  <c r="J73" i="138"/>
  <c r="L71" i="138"/>
  <c r="K71" i="138"/>
  <c r="R71" i="138" s="1"/>
  <c r="J71" i="138"/>
  <c r="L70" i="138"/>
  <c r="K70" i="138"/>
  <c r="J70" i="138"/>
  <c r="L69" i="138"/>
  <c r="K69" i="138"/>
  <c r="J69" i="138"/>
  <c r="L68" i="138"/>
  <c r="K68" i="138"/>
  <c r="R68" i="138" s="1"/>
  <c r="J68" i="138"/>
  <c r="L67" i="138"/>
  <c r="K67" i="138"/>
  <c r="J67" i="138"/>
  <c r="L65" i="138"/>
  <c r="K65" i="138"/>
  <c r="J65" i="138"/>
  <c r="L64" i="138"/>
  <c r="R64" i="138" s="1"/>
  <c r="T64" i="138" s="1"/>
  <c r="K64" i="138"/>
  <c r="J64" i="138"/>
  <c r="L63" i="138"/>
  <c r="K63" i="138"/>
  <c r="J63" i="138"/>
  <c r="L62" i="138"/>
  <c r="K62" i="138"/>
  <c r="J62" i="138"/>
  <c r="L61" i="138"/>
  <c r="K61" i="138"/>
  <c r="J61" i="138"/>
  <c r="L51" i="138"/>
  <c r="K51" i="138"/>
  <c r="J51" i="138"/>
  <c r="L50" i="138"/>
  <c r="K50" i="138"/>
  <c r="R50" i="138" s="1"/>
  <c r="J50" i="138"/>
  <c r="L49" i="138"/>
  <c r="K49" i="138"/>
  <c r="J49" i="138"/>
  <c r="L48" i="138"/>
  <c r="K48" i="138"/>
  <c r="J48" i="138"/>
  <c r="L47" i="138"/>
  <c r="K47" i="138"/>
  <c r="J47" i="138"/>
  <c r="L45" i="138"/>
  <c r="K45" i="138"/>
  <c r="J45" i="138"/>
  <c r="L44" i="138"/>
  <c r="K44" i="138"/>
  <c r="J44" i="138"/>
  <c r="L43" i="138"/>
  <c r="K43" i="138"/>
  <c r="J43" i="138"/>
  <c r="L42" i="138"/>
  <c r="K42" i="138"/>
  <c r="J42" i="138"/>
  <c r="L41" i="138"/>
  <c r="K41" i="138"/>
  <c r="J41" i="138"/>
  <c r="L39" i="138"/>
  <c r="K39" i="138"/>
  <c r="J39" i="138"/>
  <c r="L38" i="138"/>
  <c r="K38" i="138"/>
  <c r="J38" i="138"/>
  <c r="L37" i="138"/>
  <c r="K37" i="138"/>
  <c r="J37" i="138"/>
  <c r="L36" i="138"/>
  <c r="K36" i="138"/>
  <c r="R36" i="138" s="1"/>
  <c r="J36" i="138"/>
  <c r="L35" i="138"/>
  <c r="K35" i="138"/>
  <c r="J35" i="138"/>
  <c r="L33" i="138"/>
  <c r="K33" i="138"/>
  <c r="J33" i="138"/>
  <c r="L32" i="138"/>
  <c r="K32" i="138"/>
  <c r="J32" i="138"/>
  <c r="K31" i="138"/>
  <c r="J31" i="138"/>
  <c r="L30" i="138"/>
  <c r="K30" i="138"/>
  <c r="J30" i="138"/>
  <c r="L29" i="138"/>
  <c r="K29" i="138"/>
  <c r="J29" i="138"/>
  <c r="L63" i="137"/>
  <c r="L83" i="137"/>
  <c r="K83" i="137"/>
  <c r="L82" i="137"/>
  <c r="K82" i="137"/>
  <c r="L81" i="137"/>
  <c r="K81" i="137"/>
  <c r="L80" i="137"/>
  <c r="K80" i="137"/>
  <c r="L79" i="137"/>
  <c r="K79" i="137"/>
  <c r="L77" i="137"/>
  <c r="K77" i="137"/>
  <c r="L76" i="137"/>
  <c r="K76" i="137"/>
  <c r="L75" i="137"/>
  <c r="K75" i="137"/>
  <c r="L74" i="137"/>
  <c r="K74" i="137"/>
  <c r="L73" i="137"/>
  <c r="K73" i="137"/>
  <c r="L71" i="137"/>
  <c r="K71" i="137"/>
  <c r="L70" i="137"/>
  <c r="K70" i="137"/>
  <c r="L69" i="137"/>
  <c r="K69" i="137"/>
  <c r="L68" i="137"/>
  <c r="K68" i="137"/>
  <c r="L67" i="137"/>
  <c r="K67" i="137"/>
  <c r="L65" i="137"/>
  <c r="K65" i="137"/>
  <c r="L64" i="137"/>
  <c r="K64" i="137"/>
  <c r="K63" i="137"/>
  <c r="L62" i="137"/>
  <c r="K62" i="137"/>
  <c r="L61" i="137"/>
  <c r="K61" i="137"/>
  <c r="R62" i="138" l="1"/>
  <c r="R45" i="138"/>
  <c r="R77" i="138"/>
  <c r="R32" i="138"/>
  <c r="T32" i="138" s="1"/>
  <c r="R47" i="138"/>
  <c r="T47" i="138" s="1"/>
  <c r="R38" i="138"/>
  <c r="R48" i="138"/>
  <c r="R29" i="138"/>
  <c r="R65" i="138"/>
  <c r="T65" i="138" s="1"/>
  <c r="R75" i="138"/>
  <c r="R80" i="138"/>
  <c r="R44" i="138"/>
  <c r="T44" i="138" s="1"/>
  <c r="T62" i="138"/>
  <c r="T73" i="138"/>
  <c r="R61" i="138"/>
  <c r="T75" i="138"/>
  <c r="R76" i="138"/>
  <c r="T76" i="138" s="1"/>
  <c r="T68" i="138"/>
  <c r="T77" i="138"/>
  <c r="T71" i="138"/>
  <c r="R67" i="138"/>
  <c r="T67" i="138" s="1"/>
  <c r="R69" i="138"/>
  <c r="T69" i="138" s="1"/>
  <c r="R74" i="138"/>
  <c r="T74" i="138" s="1"/>
  <c r="T80" i="138"/>
  <c r="T83" i="138"/>
  <c r="T82" i="138"/>
  <c r="T61" i="138"/>
  <c r="R63" i="138"/>
  <c r="T63" i="138" s="1"/>
  <c r="R70" i="138"/>
  <c r="T70" i="138" s="1"/>
  <c r="R79" i="138"/>
  <c r="T79" i="138" s="1"/>
  <c r="T48" i="138"/>
  <c r="R35" i="138"/>
  <c r="T35" i="138" s="1"/>
  <c r="T38" i="138"/>
  <c r="T29" i="138"/>
  <c r="R37" i="138"/>
  <c r="R43" i="138"/>
  <c r="T43" i="138" s="1"/>
  <c r="T50" i="138"/>
  <c r="T36" i="138"/>
  <c r="R31" i="138"/>
  <c r="T31" i="138" s="1"/>
  <c r="T45" i="138"/>
  <c r="R33" i="138"/>
  <c r="T33" i="138" s="1"/>
  <c r="R42" i="138"/>
  <c r="T42" i="138" s="1"/>
  <c r="R49" i="138"/>
  <c r="T49" i="138" s="1"/>
  <c r="T37" i="138"/>
  <c r="R30" i="138"/>
  <c r="T30" i="138" s="1"/>
  <c r="R39" i="138"/>
  <c r="T39" i="138" s="1"/>
  <c r="R41" i="138"/>
  <c r="T41" i="138" s="1"/>
  <c r="R51" i="138"/>
  <c r="T51" i="138" s="1"/>
  <c r="R83" i="137"/>
  <c r="J83" i="137"/>
  <c r="T83" i="137" s="1"/>
  <c r="R82" i="137"/>
  <c r="J82" i="137"/>
  <c r="R81" i="137"/>
  <c r="J81" i="137"/>
  <c r="T81" i="137" s="1"/>
  <c r="R80" i="137"/>
  <c r="J80" i="137"/>
  <c r="R79" i="137"/>
  <c r="J79" i="137"/>
  <c r="R77" i="137"/>
  <c r="J77" i="137"/>
  <c r="R76" i="137"/>
  <c r="J76" i="137"/>
  <c r="R75" i="137"/>
  <c r="J75" i="137"/>
  <c r="R74" i="137"/>
  <c r="J74" i="137"/>
  <c r="R73" i="137"/>
  <c r="J73" i="137"/>
  <c r="T73" i="137" s="1"/>
  <c r="R71" i="137"/>
  <c r="J71" i="137"/>
  <c r="R70" i="137"/>
  <c r="J70" i="137"/>
  <c r="R69" i="137"/>
  <c r="J69" i="137"/>
  <c r="R68" i="137"/>
  <c r="J68" i="137"/>
  <c r="R67" i="137"/>
  <c r="J67" i="137"/>
  <c r="R65" i="137"/>
  <c r="J65" i="137"/>
  <c r="T65" i="137" s="1"/>
  <c r="R64" i="137"/>
  <c r="J64" i="137"/>
  <c r="R63" i="137"/>
  <c r="J63" i="137"/>
  <c r="T63" i="137" s="1"/>
  <c r="R62" i="137"/>
  <c r="J62" i="137"/>
  <c r="R61" i="137"/>
  <c r="J61" i="137"/>
  <c r="T61" i="137" s="1"/>
  <c r="L51" i="137"/>
  <c r="K51" i="137"/>
  <c r="R51" i="137" s="1"/>
  <c r="J51" i="137"/>
  <c r="L50" i="137"/>
  <c r="R50" i="137" s="1"/>
  <c r="K50" i="137"/>
  <c r="J50" i="137"/>
  <c r="L49" i="137"/>
  <c r="K49" i="137"/>
  <c r="R49" i="137" s="1"/>
  <c r="J49" i="137"/>
  <c r="L48" i="137"/>
  <c r="K48" i="137"/>
  <c r="J48" i="137"/>
  <c r="L47" i="137"/>
  <c r="K47" i="137"/>
  <c r="R47" i="137" s="1"/>
  <c r="J47" i="137"/>
  <c r="L45" i="137"/>
  <c r="K45" i="137"/>
  <c r="J45" i="137"/>
  <c r="L44" i="137"/>
  <c r="K44" i="137"/>
  <c r="J44" i="137"/>
  <c r="L43" i="137"/>
  <c r="K43" i="137"/>
  <c r="J43" i="137"/>
  <c r="L42" i="137"/>
  <c r="K42" i="137"/>
  <c r="R42" i="137" s="1"/>
  <c r="T42" i="137" s="1"/>
  <c r="J42" i="137"/>
  <c r="L41" i="137"/>
  <c r="K41" i="137"/>
  <c r="R41" i="137" s="1"/>
  <c r="J41" i="137"/>
  <c r="L39" i="137"/>
  <c r="K39" i="137"/>
  <c r="J39" i="137"/>
  <c r="L38" i="137"/>
  <c r="K38" i="137"/>
  <c r="J38" i="137"/>
  <c r="L37" i="137"/>
  <c r="K37" i="137"/>
  <c r="J37" i="137"/>
  <c r="L36" i="137"/>
  <c r="K36" i="137"/>
  <c r="R36" i="137" s="1"/>
  <c r="J36" i="137"/>
  <c r="L35" i="137"/>
  <c r="K35" i="137"/>
  <c r="J35" i="137"/>
  <c r="L33" i="137"/>
  <c r="K33" i="137"/>
  <c r="J33" i="137"/>
  <c r="L32" i="137"/>
  <c r="K32" i="137"/>
  <c r="J32" i="137"/>
  <c r="K31" i="137"/>
  <c r="J31" i="137"/>
  <c r="L30" i="137"/>
  <c r="K30" i="137"/>
  <c r="J30" i="137"/>
  <c r="L29" i="137"/>
  <c r="K29" i="137"/>
  <c r="J29" i="137"/>
  <c r="T78" i="138" l="1"/>
  <c r="R38" i="137"/>
  <c r="T84" i="138"/>
  <c r="AD67" i="138" s="1"/>
  <c r="T47" i="137"/>
  <c r="R30" i="137"/>
  <c r="T30" i="137" s="1"/>
  <c r="R35" i="137"/>
  <c r="T75" i="137"/>
  <c r="T76" i="137"/>
  <c r="R45" i="137"/>
  <c r="T46" i="138"/>
  <c r="R37" i="137"/>
  <c r="T37" i="137" s="1"/>
  <c r="T79" i="137"/>
  <c r="AD66" i="138"/>
  <c r="T66" i="138"/>
  <c r="AD64" i="138" s="1"/>
  <c r="T72" i="138"/>
  <c r="Y65" i="138" s="1"/>
  <c r="T40" i="138"/>
  <c r="AD34" i="138" s="1"/>
  <c r="T34" i="138"/>
  <c r="T52" i="138"/>
  <c r="AD35" i="138"/>
  <c r="AD36" i="138"/>
  <c r="T64" i="137"/>
  <c r="T68" i="137"/>
  <c r="T80" i="137"/>
  <c r="R29" i="137"/>
  <c r="T77" i="137"/>
  <c r="T67" i="137"/>
  <c r="T69" i="137"/>
  <c r="T71" i="137"/>
  <c r="T74" i="137"/>
  <c r="T82" i="137"/>
  <c r="T62" i="137"/>
  <c r="T66" i="137" s="1"/>
  <c r="T70" i="137"/>
  <c r="R43" i="137"/>
  <c r="T43" i="137" s="1"/>
  <c r="T51" i="137"/>
  <c r="T38" i="137"/>
  <c r="T36" i="137"/>
  <c r="R31" i="137"/>
  <c r="T31" i="137" s="1"/>
  <c r="T50" i="137"/>
  <c r="T41" i="137"/>
  <c r="R44" i="137"/>
  <c r="T44" i="137" s="1"/>
  <c r="T49" i="137"/>
  <c r="T35" i="137"/>
  <c r="T29" i="137"/>
  <c r="R32" i="137"/>
  <c r="T32" i="137" s="1"/>
  <c r="R33" i="137"/>
  <c r="T33" i="137" s="1"/>
  <c r="R39" i="137"/>
  <c r="T39" i="137" s="1"/>
  <c r="T45" i="137"/>
  <c r="R48" i="137"/>
  <c r="T48" i="137" s="1"/>
  <c r="T40" i="137" l="1"/>
  <c r="AD34" i="137" s="1"/>
  <c r="T78" i="137"/>
  <c r="AD66" i="137" s="1"/>
  <c r="AD65" i="138"/>
  <c r="AA65" i="138"/>
  <c r="AA60" i="138" s="1"/>
  <c r="X65" i="138"/>
  <c r="Z65" i="138" s="1"/>
  <c r="Z60" i="138" s="1"/>
  <c r="AD33" i="138"/>
  <c r="Z32" i="138"/>
  <c r="Z28" i="138" s="1"/>
  <c r="AI37" i="138" s="1"/>
  <c r="AI38" i="138" s="1"/>
  <c r="Y32" i="138"/>
  <c r="AA32" i="138"/>
  <c r="AA28" i="138" s="1"/>
  <c r="AJ37" i="138" s="1"/>
  <c r="AJ38" i="138" s="1"/>
  <c r="Y60" i="138"/>
  <c r="X60" i="138"/>
  <c r="AD64" i="137"/>
  <c r="Z63" i="137"/>
  <c r="Z60" i="137" s="1"/>
  <c r="T72" i="137"/>
  <c r="T84" i="137"/>
  <c r="T46" i="137"/>
  <c r="AD35" i="137" s="1"/>
  <c r="T34" i="137"/>
  <c r="AD33" i="137" s="1"/>
  <c r="T52" i="137"/>
  <c r="X32" i="138" l="1"/>
  <c r="X28" i="138" s="1"/>
  <c r="AG37" i="138" s="1"/>
  <c r="AG38" i="138" s="1"/>
  <c r="Y28" i="138"/>
  <c r="AH37" i="138" s="1"/>
  <c r="AH38" i="138" s="1"/>
  <c r="AD67" i="137"/>
  <c r="AA63" i="137"/>
  <c r="AA60" i="137" s="1"/>
  <c r="AD65" i="137"/>
  <c r="Y63" i="137"/>
  <c r="Y30" i="137"/>
  <c r="Z30" i="137"/>
  <c r="Z28" i="137" s="1"/>
  <c r="AI37" i="137" s="1"/>
  <c r="AI38" i="137" s="1"/>
  <c r="AD36" i="137"/>
  <c r="AA30" i="137"/>
  <c r="AA28" i="137" s="1"/>
  <c r="AJ37" i="137" s="1"/>
  <c r="AJ38" i="137" s="1"/>
  <c r="L44" i="134"/>
  <c r="L43" i="134"/>
  <c r="R83" i="134"/>
  <c r="J83" i="134"/>
  <c r="R82" i="134"/>
  <c r="J82" i="134"/>
  <c r="R81" i="134"/>
  <c r="J81" i="134"/>
  <c r="R80" i="134"/>
  <c r="T80" i="134" s="1"/>
  <c r="J80" i="134"/>
  <c r="R79" i="134"/>
  <c r="J79" i="134"/>
  <c r="T79" i="134" s="1"/>
  <c r="R77" i="134"/>
  <c r="J77" i="134"/>
  <c r="R76" i="134"/>
  <c r="J76" i="134"/>
  <c r="R75" i="134"/>
  <c r="T75" i="134" s="1"/>
  <c r="J75" i="134"/>
  <c r="R74" i="134"/>
  <c r="J74" i="134"/>
  <c r="R73" i="134"/>
  <c r="J73" i="134"/>
  <c r="T73" i="134" s="1"/>
  <c r="R71" i="134"/>
  <c r="J71" i="134"/>
  <c r="T71" i="134" s="1"/>
  <c r="R70" i="134"/>
  <c r="J70" i="134"/>
  <c r="R69" i="134"/>
  <c r="T69" i="134" s="1"/>
  <c r="J69" i="134"/>
  <c r="R68" i="134"/>
  <c r="J68" i="134"/>
  <c r="R67" i="134"/>
  <c r="J67" i="134"/>
  <c r="R65" i="134"/>
  <c r="J65" i="134"/>
  <c r="T65" i="134" s="1"/>
  <c r="R64" i="134"/>
  <c r="J64" i="134"/>
  <c r="R63" i="134"/>
  <c r="T63" i="134" s="1"/>
  <c r="J63" i="134"/>
  <c r="R62" i="134"/>
  <c r="J62" i="134"/>
  <c r="R61" i="134"/>
  <c r="J61" i="134"/>
  <c r="T61" i="134" s="1"/>
  <c r="AA60" i="134"/>
  <c r="Z60" i="134"/>
  <c r="Y60" i="134"/>
  <c r="X60" i="134"/>
  <c r="L51" i="134"/>
  <c r="K51" i="134"/>
  <c r="R51" i="134" s="1"/>
  <c r="J51" i="134"/>
  <c r="R50" i="134"/>
  <c r="T50" i="134" s="1"/>
  <c r="L50" i="134"/>
  <c r="K50" i="134"/>
  <c r="J50" i="134"/>
  <c r="L49" i="134"/>
  <c r="K49" i="134"/>
  <c r="R49" i="134" s="1"/>
  <c r="J49" i="134"/>
  <c r="L48" i="134"/>
  <c r="K48" i="134"/>
  <c r="J48" i="134"/>
  <c r="L47" i="134"/>
  <c r="K47" i="134"/>
  <c r="R47" i="134" s="1"/>
  <c r="J47" i="134"/>
  <c r="L45" i="134"/>
  <c r="K45" i="134"/>
  <c r="J45" i="134"/>
  <c r="K44" i="134"/>
  <c r="J44" i="134"/>
  <c r="K43" i="134"/>
  <c r="J43" i="134"/>
  <c r="L42" i="134"/>
  <c r="K42" i="134"/>
  <c r="J42" i="134"/>
  <c r="L41" i="134"/>
  <c r="K41" i="134"/>
  <c r="J41" i="134"/>
  <c r="L39" i="134"/>
  <c r="K39" i="134"/>
  <c r="R39" i="134" s="1"/>
  <c r="J39" i="134"/>
  <c r="L38" i="134"/>
  <c r="K38" i="134"/>
  <c r="J38" i="134"/>
  <c r="L37" i="134"/>
  <c r="K37" i="134"/>
  <c r="J37" i="134"/>
  <c r="L36" i="134"/>
  <c r="K36" i="134"/>
  <c r="J36" i="134"/>
  <c r="L35" i="134"/>
  <c r="K35" i="134"/>
  <c r="J35" i="134"/>
  <c r="L33" i="134"/>
  <c r="K33" i="134"/>
  <c r="J33" i="134"/>
  <c r="L32" i="134"/>
  <c r="K32" i="134"/>
  <c r="J32" i="134"/>
  <c r="L31" i="134"/>
  <c r="K31" i="134"/>
  <c r="J31" i="134"/>
  <c r="L30" i="134"/>
  <c r="K30" i="134"/>
  <c r="R30" i="134" s="1"/>
  <c r="J30" i="134"/>
  <c r="L29" i="134"/>
  <c r="K29" i="134"/>
  <c r="J29" i="134"/>
  <c r="R32" i="134" l="1"/>
  <c r="T32" i="134" s="1"/>
  <c r="T64" i="134"/>
  <c r="R37" i="134"/>
  <c r="R29" i="134"/>
  <c r="T81" i="134"/>
  <c r="R45" i="134"/>
  <c r="Y28" i="137"/>
  <c r="AH37" i="137" s="1"/>
  <c r="AH38" i="137" s="1"/>
  <c r="X30" i="137"/>
  <c r="X28" i="137" s="1"/>
  <c r="AG37" i="137" s="1"/>
  <c r="AG38" i="137" s="1"/>
  <c r="T83" i="134"/>
  <c r="X63" i="137"/>
  <c r="X60" i="137" s="1"/>
  <c r="Y60" i="137"/>
  <c r="T74" i="134"/>
  <c r="T82" i="134"/>
  <c r="R42" i="134"/>
  <c r="T42" i="134" s="1"/>
  <c r="T68" i="134"/>
  <c r="T76" i="134"/>
  <c r="R41" i="134"/>
  <c r="T41" i="134" s="1"/>
  <c r="T62" i="134"/>
  <c r="T66" i="134" s="1"/>
  <c r="T67" i="134"/>
  <c r="T72" i="134" s="1"/>
  <c r="T70" i="134"/>
  <c r="T77" i="134"/>
  <c r="T47" i="134"/>
  <c r="R33" i="134"/>
  <c r="T33" i="134" s="1"/>
  <c r="T29" i="134"/>
  <c r="R31" i="134"/>
  <c r="T31" i="134" s="1"/>
  <c r="R35" i="134"/>
  <c r="T37" i="134"/>
  <c r="T35" i="134"/>
  <c r="R44" i="134"/>
  <c r="T44" i="134" s="1"/>
  <c r="T30" i="134"/>
  <c r="T49" i="134"/>
  <c r="R38" i="134"/>
  <c r="T38" i="134" s="1"/>
  <c r="T51" i="134"/>
  <c r="T39" i="134"/>
  <c r="R36" i="134"/>
  <c r="T36" i="134" s="1"/>
  <c r="R43" i="134"/>
  <c r="T43" i="134" s="1"/>
  <c r="T45" i="134"/>
  <c r="R48" i="134"/>
  <c r="T48" i="134" s="1"/>
  <c r="T84" i="134"/>
  <c r="T78" i="134" l="1"/>
  <c r="T52" i="134"/>
  <c r="AE36" i="134" s="1"/>
  <c r="T34" i="134"/>
  <c r="AE33" i="134" s="1"/>
  <c r="T40" i="134"/>
  <c r="T46" i="134"/>
  <c r="AE35" i="134" s="1"/>
  <c r="AE34" i="134" l="1"/>
  <c r="Z36" i="134"/>
  <c r="Z28" i="134" s="1"/>
  <c r="AJ36" i="134" s="1"/>
  <c r="AJ37" i="134" s="1"/>
  <c r="X36" i="134"/>
  <c r="AA36" i="134"/>
  <c r="AA28" i="134" s="1"/>
  <c r="AK36" i="134" s="1"/>
  <c r="AK37" i="134" s="1"/>
  <c r="Y36" i="134" l="1"/>
  <c r="Y28" i="134" s="1"/>
  <c r="AI36" i="134" s="1"/>
  <c r="AI37" i="134" s="1"/>
  <c r="X28" i="134"/>
  <c r="AH36" i="134" s="1"/>
  <c r="AH37" i="134" s="1"/>
  <c r="L54" i="133"/>
  <c r="L53" i="133"/>
  <c r="L52" i="133"/>
  <c r="R52" i="133" s="1"/>
  <c r="L51" i="133"/>
  <c r="L50" i="133"/>
  <c r="L48" i="133"/>
  <c r="L46" i="133"/>
  <c r="L45" i="133"/>
  <c r="L44" i="133"/>
  <c r="L42" i="133"/>
  <c r="L41" i="133"/>
  <c r="L40" i="133"/>
  <c r="L39" i="133"/>
  <c r="L38" i="133"/>
  <c r="L36" i="133"/>
  <c r="L35" i="133"/>
  <c r="L34" i="133"/>
  <c r="L33" i="133"/>
  <c r="L32" i="133"/>
  <c r="K54" i="133"/>
  <c r="K53" i="133"/>
  <c r="K52" i="133"/>
  <c r="K51" i="133"/>
  <c r="R51" i="133" s="1"/>
  <c r="K50" i="133"/>
  <c r="K48" i="133"/>
  <c r="K47" i="133"/>
  <c r="R47" i="133" s="1"/>
  <c r="K46" i="133"/>
  <c r="R46" i="133" s="1"/>
  <c r="T46" i="133" s="1"/>
  <c r="K45" i="133"/>
  <c r="K44" i="133"/>
  <c r="R44" i="133" s="1"/>
  <c r="K42" i="133"/>
  <c r="R42" i="133" s="1"/>
  <c r="K41" i="133"/>
  <c r="K40" i="133"/>
  <c r="K39" i="133"/>
  <c r="K38" i="133"/>
  <c r="K36" i="133"/>
  <c r="K35" i="133"/>
  <c r="R35" i="133" s="1"/>
  <c r="K34" i="133"/>
  <c r="K33" i="133"/>
  <c r="R86" i="133"/>
  <c r="J86" i="133"/>
  <c r="R85" i="133"/>
  <c r="T85" i="133" s="1"/>
  <c r="J85" i="133"/>
  <c r="R84" i="133"/>
  <c r="T84" i="133" s="1"/>
  <c r="J84" i="133"/>
  <c r="R83" i="133"/>
  <c r="J83" i="133"/>
  <c r="R82" i="133"/>
  <c r="T82" i="133" s="1"/>
  <c r="J82" i="133"/>
  <c r="R80" i="133"/>
  <c r="J80" i="133"/>
  <c r="R79" i="133"/>
  <c r="J79" i="133"/>
  <c r="R78" i="133"/>
  <c r="J78" i="133"/>
  <c r="R77" i="133"/>
  <c r="T77" i="133" s="1"/>
  <c r="J77" i="133"/>
  <c r="R76" i="133"/>
  <c r="J76" i="133"/>
  <c r="R74" i="133"/>
  <c r="T74" i="133" s="1"/>
  <c r="J74" i="133"/>
  <c r="R73" i="133"/>
  <c r="J73" i="133"/>
  <c r="R72" i="133"/>
  <c r="T72" i="133" s="1"/>
  <c r="J72" i="133"/>
  <c r="R71" i="133"/>
  <c r="T71" i="133" s="1"/>
  <c r="J71" i="133"/>
  <c r="R70" i="133"/>
  <c r="J70" i="133"/>
  <c r="R68" i="133"/>
  <c r="J68" i="133"/>
  <c r="R67" i="133"/>
  <c r="J67" i="133"/>
  <c r="R66" i="133"/>
  <c r="J66" i="133"/>
  <c r="R65" i="133"/>
  <c r="J65" i="133"/>
  <c r="R64" i="133"/>
  <c r="J64" i="133"/>
  <c r="AA63" i="133"/>
  <c r="Z63" i="133"/>
  <c r="Y63" i="133"/>
  <c r="X63" i="133"/>
  <c r="R54" i="133"/>
  <c r="J54" i="133"/>
  <c r="J53" i="133"/>
  <c r="J52" i="133"/>
  <c r="J51" i="133"/>
  <c r="J50" i="133"/>
  <c r="J48" i="133"/>
  <c r="J47" i="133"/>
  <c r="J46" i="133"/>
  <c r="J45" i="133"/>
  <c r="J44" i="133"/>
  <c r="J42" i="133"/>
  <c r="J41" i="133"/>
  <c r="J40" i="133"/>
  <c r="J39" i="133"/>
  <c r="R38" i="133"/>
  <c r="J38" i="133"/>
  <c r="J36" i="133"/>
  <c r="J35" i="133"/>
  <c r="J34" i="133"/>
  <c r="J33" i="133"/>
  <c r="K32" i="133"/>
  <c r="J32" i="133"/>
  <c r="T79" i="133" l="1"/>
  <c r="T86" i="133"/>
  <c r="T66" i="133"/>
  <c r="T80" i="133"/>
  <c r="R48" i="133"/>
  <c r="T78" i="133"/>
  <c r="T73" i="133"/>
  <c r="T75" i="133" s="1"/>
  <c r="T67" i="133"/>
  <c r="T65" i="133"/>
  <c r="T68" i="133"/>
  <c r="T76" i="133"/>
  <c r="T81" i="133" s="1"/>
  <c r="T83" i="133"/>
  <c r="T87" i="133" s="1"/>
  <c r="R39" i="133"/>
  <c r="T39" i="133" s="1"/>
  <c r="T70" i="133"/>
  <c r="R40" i="133"/>
  <c r="T40" i="133" s="1"/>
  <c r="R41" i="133"/>
  <c r="T51" i="133"/>
  <c r="R36" i="133"/>
  <c r="T36" i="133" s="1"/>
  <c r="R53" i="133"/>
  <c r="T53" i="133" s="1"/>
  <c r="R32" i="133"/>
  <c r="T32" i="133" s="1"/>
  <c r="R45" i="133"/>
  <c r="R50" i="133"/>
  <c r="R33" i="133"/>
  <c r="T33" i="133" s="1"/>
  <c r="T50" i="133"/>
  <c r="R34" i="133"/>
  <c r="T34" i="133" s="1"/>
  <c r="T44" i="133"/>
  <c r="T52" i="133"/>
  <c r="T42" i="133"/>
  <c r="T64" i="133"/>
  <c r="T48" i="133"/>
  <c r="T38" i="133"/>
  <c r="T41" i="133"/>
  <c r="T35" i="133"/>
  <c r="T45" i="133"/>
  <c r="T47" i="133"/>
  <c r="T54" i="133"/>
  <c r="K36" i="132"/>
  <c r="K35" i="132"/>
  <c r="K34" i="132"/>
  <c r="K33" i="132"/>
  <c r="K32" i="132"/>
  <c r="T69" i="133" l="1"/>
  <c r="T37" i="133"/>
  <c r="T43" i="133"/>
  <c r="Y38" i="133" s="1"/>
  <c r="T55" i="133"/>
  <c r="T49" i="133"/>
  <c r="AE36" i="133"/>
  <c r="Y31" i="133"/>
  <c r="AI39" i="133" s="1"/>
  <c r="AI40" i="133" s="1"/>
  <c r="AE37" i="133"/>
  <c r="R86" i="132"/>
  <c r="J86" i="132"/>
  <c r="R85" i="132"/>
  <c r="T85" i="132" s="1"/>
  <c r="J85" i="132"/>
  <c r="R84" i="132"/>
  <c r="J84" i="132"/>
  <c r="T84" i="132" s="1"/>
  <c r="R83" i="132"/>
  <c r="J83" i="132"/>
  <c r="R82" i="132"/>
  <c r="J82" i="132"/>
  <c r="R80" i="132"/>
  <c r="J80" i="132"/>
  <c r="R79" i="132"/>
  <c r="J79" i="132"/>
  <c r="R78" i="132"/>
  <c r="J78" i="132"/>
  <c r="R77" i="132"/>
  <c r="J77" i="132"/>
  <c r="R76" i="132"/>
  <c r="J76" i="132"/>
  <c r="R74" i="132"/>
  <c r="J74" i="132"/>
  <c r="R73" i="132"/>
  <c r="J73" i="132"/>
  <c r="R72" i="132"/>
  <c r="J72" i="132"/>
  <c r="T72" i="132" s="1"/>
  <c r="R71" i="132"/>
  <c r="J71" i="132"/>
  <c r="R70" i="132"/>
  <c r="J70" i="132"/>
  <c r="R68" i="132"/>
  <c r="J68" i="132"/>
  <c r="R67" i="132"/>
  <c r="J67" i="132"/>
  <c r="R66" i="132"/>
  <c r="J66" i="132"/>
  <c r="T66" i="132" s="1"/>
  <c r="R65" i="132"/>
  <c r="J65" i="132"/>
  <c r="R64" i="132"/>
  <c r="J64" i="132"/>
  <c r="AA63" i="132"/>
  <c r="Z63" i="132"/>
  <c r="Y63" i="132"/>
  <c r="X63" i="132"/>
  <c r="R54" i="132"/>
  <c r="J54" i="132"/>
  <c r="R53" i="132"/>
  <c r="J53" i="132"/>
  <c r="R52" i="132"/>
  <c r="J52" i="132"/>
  <c r="T52" i="132" s="1"/>
  <c r="R51" i="132"/>
  <c r="J51" i="132"/>
  <c r="R50" i="132"/>
  <c r="J50" i="132"/>
  <c r="R48" i="132"/>
  <c r="J48" i="132"/>
  <c r="R47" i="132"/>
  <c r="J47" i="132"/>
  <c r="R46" i="132"/>
  <c r="J46" i="132"/>
  <c r="R45" i="132"/>
  <c r="J45" i="132"/>
  <c r="R44" i="132"/>
  <c r="J44" i="132"/>
  <c r="R42" i="132"/>
  <c r="J42" i="132"/>
  <c r="R41" i="132"/>
  <c r="J41" i="132"/>
  <c r="R40" i="132"/>
  <c r="J40" i="132"/>
  <c r="T40" i="132" s="1"/>
  <c r="R39" i="132"/>
  <c r="J39" i="132"/>
  <c r="R38" i="132"/>
  <c r="J38" i="132"/>
  <c r="T38" i="132" s="1"/>
  <c r="R36" i="132"/>
  <c r="J36" i="132"/>
  <c r="R35" i="132"/>
  <c r="J35" i="132"/>
  <c r="R34" i="132"/>
  <c r="J34" i="132"/>
  <c r="R33" i="132"/>
  <c r="J33" i="132"/>
  <c r="R32" i="132"/>
  <c r="J32" i="132"/>
  <c r="R86" i="131"/>
  <c r="J86" i="131"/>
  <c r="R85" i="131"/>
  <c r="J85" i="131"/>
  <c r="R84" i="131"/>
  <c r="J84" i="131"/>
  <c r="R83" i="131"/>
  <c r="J83" i="131"/>
  <c r="R82" i="131"/>
  <c r="J82" i="131"/>
  <c r="R80" i="131"/>
  <c r="J80" i="131"/>
  <c r="R79" i="131"/>
  <c r="J79" i="131"/>
  <c r="R78" i="131"/>
  <c r="J78" i="131"/>
  <c r="R77" i="131"/>
  <c r="J77" i="131"/>
  <c r="R76" i="131"/>
  <c r="J76" i="131"/>
  <c r="R74" i="131"/>
  <c r="J74" i="131"/>
  <c r="R73" i="131"/>
  <c r="J73" i="131"/>
  <c r="R72" i="131"/>
  <c r="T72" i="131" s="1"/>
  <c r="J72" i="131"/>
  <c r="R71" i="131"/>
  <c r="J71" i="131"/>
  <c r="R70" i="131"/>
  <c r="J70" i="131"/>
  <c r="R68" i="131"/>
  <c r="J68" i="131"/>
  <c r="R67" i="131"/>
  <c r="J67" i="131"/>
  <c r="R66" i="131"/>
  <c r="J66" i="131"/>
  <c r="T66" i="131" s="1"/>
  <c r="R65" i="131"/>
  <c r="J65" i="131"/>
  <c r="R64" i="131"/>
  <c r="J64" i="131"/>
  <c r="AA63" i="131"/>
  <c r="Z63" i="131"/>
  <c r="Y63" i="131"/>
  <c r="X63" i="131"/>
  <c r="R54" i="131"/>
  <c r="J54" i="131"/>
  <c r="R53" i="131"/>
  <c r="J53" i="131"/>
  <c r="R52" i="131"/>
  <c r="J52" i="131"/>
  <c r="R51" i="131"/>
  <c r="J51" i="131"/>
  <c r="R50" i="131"/>
  <c r="J50" i="131"/>
  <c r="R48" i="131"/>
  <c r="J48" i="131"/>
  <c r="R47" i="131"/>
  <c r="J47" i="131"/>
  <c r="R46" i="131"/>
  <c r="J46" i="131"/>
  <c r="R45" i="131"/>
  <c r="J45" i="131"/>
  <c r="R44" i="131"/>
  <c r="J44" i="131"/>
  <c r="R42" i="131"/>
  <c r="J42" i="131"/>
  <c r="R41" i="131"/>
  <c r="J41" i="131"/>
  <c r="R40" i="131"/>
  <c r="J40" i="131"/>
  <c r="R39" i="131"/>
  <c r="J39" i="131"/>
  <c r="R38" i="131"/>
  <c r="J38" i="131"/>
  <c r="R36" i="131"/>
  <c r="J36" i="131"/>
  <c r="R35" i="131"/>
  <c r="J35" i="131"/>
  <c r="R34" i="131"/>
  <c r="T34" i="131" s="1"/>
  <c r="J34" i="131"/>
  <c r="R33" i="131"/>
  <c r="J33" i="131"/>
  <c r="R32" i="131"/>
  <c r="J32" i="131"/>
  <c r="AA31" i="131"/>
  <c r="Z31" i="131"/>
  <c r="Y31" i="131"/>
  <c r="AH6" i="131" s="1"/>
  <c r="AH30" i="131" s="1"/>
  <c r="X31" i="131"/>
  <c r="AG6" i="131" s="1"/>
  <c r="AG30" i="131" s="1"/>
  <c r="AJ6" i="131"/>
  <c r="AJ30" i="131" s="1"/>
  <c r="AI6" i="131"/>
  <c r="AI30" i="131" s="1"/>
  <c r="R86" i="130"/>
  <c r="J86" i="130"/>
  <c r="R85" i="130"/>
  <c r="J85" i="130"/>
  <c r="R84" i="130"/>
  <c r="T84" i="130" s="1"/>
  <c r="J84" i="130"/>
  <c r="R83" i="130"/>
  <c r="J83" i="130"/>
  <c r="R82" i="130"/>
  <c r="J82" i="130"/>
  <c r="R80" i="130"/>
  <c r="J80" i="130"/>
  <c r="R79" i="130"/>
  <c r="J79" i="130"/>
  <c r="R78" i="130"/>
  <c r="J78" i="130"/>
  <c r="R77" i="130"/>
  <c r="T77" i="130" s="1"/>
  <c r="J77" i="130"/>
  <c r="J76" i="130"/>
  <c r="J74" i="130"/>
  <c r="J73" i="130"/>
  <c r="J72" i="130"/>
  <c r="J71" i="130"/>
  <c r="J70" i="130"/>
  <c r="R68" i="130"/>
  <c r="J68" i="130"/>
  <c r="R67" i="130"/>
  <c r="J67" i="130"/>
  <c r="R66" i="130"/>
  <c r="T66" i="130" s="1"/>
  <c r="J66" i="130"/>
  <c r="J65" i="130"/>
  <c r="R64" i="130"/>
  <c r="J64" i="130"/>
  <c r="R54" i="130"/>
  <c r="J54" i="130"/>
  <c r="R53" i="130"/>
  <c r="T53" i="130" s="1"/>
  <c r="J53" i="130"/>
  <c r="R52" i="130"/>
  <c r="J52" i="130"/>
  <c r="R51" i="130"/>
  <c r="J51" i="130"/>
  <c r="R50" i="130"/>
  <c r="J50" i="130"/>
  <c r="R48" i="130"/>
  <c r="J48" i="130"/>
  <c r="R47" i="130"/>
  <c r="J47" i="130"/>
  <c r="R46" i="130"/>
  <c r="J46" i="130"/>
  <c r="R45" i="130"/>
  <c r="T45" i="130" s="1"/>
  <c r="J45" i="130"/>
  <c r="R44" i="130"/>
  <c r="J44" i="130"/>
  <c r="R42" i="130"/>
  <c r="J42" i="130"/>
  <c r="R41" i="130"/>
  <c r="J41" i="130"/>
  <c r="T40" i="130"/>
  <c r="R40" i="130"/>
  <c r="J40" i="130"/>
  <c r="R39" i="130"/>
  <c r="J39" i="130"/>
  <c r="R38" i="130"/>
  <c r="J38" i="130"/>
  <c r="R36" i="130"/>
  <c r="J36" i="130"/>
  <c r="R35" i="130"/>
  <c r="J35" i="130"/>
  <c r="R34" i="130"/>
  <c r="J34" i="130"/>
  <c r="R33" i="130"/>
  <c r="J33" i="130"/>
  <c r="R32" i="130"/>
  <c r="J32" i="130"/>
  <c r="AA31" i="130"/>
  <c r="AJ6" i="130" s="1"/>
  <c r="AJ30" i="130" s="1"/>
  <c r="Z31" i="130"/>
  <c r="AI6" i="130" s="1"/>
  <c r="AI30" i="130" s="1"/>
  <c r="Y31" i="130"/>
  <c r="AH6" i="130" s="1"/>
  <c r="AH30" i="130" s="1"/>
  <c r="X31" i="130"/>
  <c r="AG6" i="130"/>
  <c r="AG30" i="130" s="1"/>
  <c r="M86" i="129"/>
  <c r="L86" i="129"/>
  <c r="K86" i="129"/>
  <c r="J86" i="129"/>
  <c r="M85" i="129"/>
  <c r="L85" i="129"/>
  <c r="K85" i="129"/>
  <c r="R85" i="129" s="1"/>
  <c r="T85" i="129" s="1"/>
  <c r="J85" i="129"/>
  <c r="M84" i="129"/>
  <c r="L84" i="129"/>
  <c r="K84" i="129"/>
  <c r="J84" i="129"/>
  <c r="M83" i="129"/>
  <c r="L83" i="129"/>
  <c r="K83" i="129"/>
  <c r="J83" i="129"/>
  <c r="M82" i="129"/>
  <c r="L82" i="129"/>
  <c r="K82" i="129"/>
  <c r="R82" i="129" s="1"/>
  <c r="T82" i="129" s="1"/>
  <c r="J82" i="129"/>
  <c r="M80" i="129"/>
  <c r="L80" i="129"/>
  <c r="K80" i="129"/>
  <c r="J80" i="129"/>
  <c r="R79" i="129"/>
  <c r="T79" i="129" s="1"/>
  <c r="M79" i="129"/>
  <c r="L79" i="129"/>
  <c r="K79" i="129"/>
  <c r="J79" i="129"/>
  <c r="M78" i="129"/>
  <c r="L78" i="129"/>
  <c r="R78" i="129" s="1"/>
  <c r="T78" i="129" s="1"/>
  <c r="K78" i="129"/>
  <c r="J78" i="129"/>
  <c r="M77" i="129"/>
  <c r="L77" i="129"/>
  <c r="K77" i="129"/>
  <c r="R77" i="129" s="1"/>
  <c r="T77" i="129" s="1"/>
  <c r="J77" i="129"/>
  <c r="M76" i="129"/>
  <c r="L76" i="129"/>
  <c r="K76" i="129"/>
  <c r="J76" i="129"/>
  <c r="M74" i="129"/>
  <c r="L74" i="129"/>
  <c r="K74" i="129"/>
  <c r="J74" i="129"/>
  <c r="M73" i="129"/>
  <c r="L73" i="129"/>
  <c r="K73" i="129"/>
  <c r="R73" i="129" s="1"/>
  <c r="T73" i="129" s="1"/>
  <c r="J73" i="129"/>
  <c r="M72" i="129"/>
  <c r="L72" i="129"/>
  <c r="K72" i="129"/>
  <c r="R72" i="129" s="1"/>
  <c r="T72" i="129" s="1"/>
  <c r="J72" i="129"/>
  <c r="M71" i="129"/>
  <c r="L71" i="129"/>
  <c r="K71" i="129"/>
  <c r="J71" i="129"/>
  <c r="M70" i="129"/>
  <c r="L70" i="129"/>
  <c r="K70" i="129"/>
  <c r="R70" i="129" s="1"/>
  <c r="T70" i="129" s="1"/>
  <c r="J70" i="129"/>
  <c r="M68" i="129"/>
  <c r="L68" i="129"/>
  <c r="K68" i="129"/>
  <c r="R68" i="129" s="1"/>
  <c r="T68" i="129" s="1"/>
  <c r="J68" i="129"/>
  <c r="M67" i="129"/>
  <c r="L67" i="129"/>
  <c r="R67" i="129" s="1"/>
  <c r="T67" i="129" s="1"/>
  <c r="K67" i="129"/>
  <c r="J67" i="129"/>
  <c r="M66" i="129"/>
  <c r="L66" i="129"/>
  <c r="K66" i="129"/>
  <c r="R66" i="129" s="1"/>
  <c r="T66" i="129" s="1"/>
  <c r="J66" i="129"/>
  <c r="M65" i="129"/>
  <c r="L65" i="129"/>
  <c r="K65" i="129"/>
  <c r="J65" i="129"/>
  <c r="R64" i="129"/>
  <c r="M64" i="129"/>
  <c r="L64" i="129"/>
  <c r="K64" i="129"/>
  <c r="J64" i="129"/>
  <c r="R54" i="129"/>
  <c r="J54" i="129"/>
  <c r="R53" i="129"/>
  <c r="J53" i="129"/>
  <c r="R52" i="129"/>
  <c r="J52" i="129"/>
  <c r="R51" i="129"/>
  <c r="J51" i="129"/>
  <c r="R50" i="129"/>
  <c r="J50" i="129"/>
  <c r="R48" i="129"/>
  <c r="J48" i="129"/>
  <c r="R47" i="129"/>
  <c r="J47" i="129"/>
  <c r="R46" i="129"/>
  <c r="J46" i="129"/>
  <c r="R45" i="129"/>
  <c r="J45" i="129"/>
  <c r="R44" i="129"/>
  <c r="J44" i="129"/>
  <c r="R42" i="129"/>
  <c r="J42" i="129"/>
  <c r="R41" i="129"/>
  <c r="J41" i="129"/>
  <c r="R40" i="129"/>
  <c r="J40" i="129"/>
  <c r="R39" i="129"/>
  <c r="J39" i="129"/>
  <c r="R38" i="129"/>
  <c r="J38" i="129"/>
  <c r="R36" i="129"/>
  <c r="J36" i="129"/>
  <c r="R35" i="129"/>
  <c r="J35" i="129"/>
  <c r="R34" i="129"/>
  <c r="J34" i="129"/>
  <c r="R33" i="129"/>
  <c r="J33" i="129"/>
  <c r="R32" i="129"/>
  <c r="J32" i="129"/>
  <c r="AA31" i="129"/>
  <c r="AJ6" i="129" s="1"/>
  <c r="AJ30" i="129" s="1"/>
  <c r="Z31" i="129"/>
  <c r="AI6" i="129" s="1"/>
  <c r="AI30" i="129" s="1"/>
  <c r="Y31" i="129"/>
  <c r="AH6" i="129" s="1"/>
  <c r="AH30" i="129" s="1"/>
  <c r="X31" i="129"/>
  <c r="AG6" i="129" s="1"/>
  <c r="AG30" i="129" s="1"/>
  <c r="M86" i="128"/>
  <c r="L86" i="128"/>
  <c r="K86" i="128"/>
  <c r="J86" i="128"/>
  <c r="M85" i="128"/>
  <c r="L85" i="128"/>
  <c r="K85" i="128"/>
  <c r="R85" i="128" s="1"/>
  <c r="T85" i="128" s="1"/>
  <c r="J85" i="128"/>
  <c r="M84" i="128"/>
  <c r="R84" i="128" s="1"/>
  <c r="T84" i="128" s="1"/>
  <c r="L84" i="128"/>
  <c r="K84" i="128"/>
  <c r="J84" i="128"/>
  <c r="M83" i="128"/>
  <c r="L83" i="128"/>
  <c r="K83" i="128"/>
  <c r="R83" i="128" s="1"/>
  <c r="T83" i="128" s="1"/>
  <c r="J83" i="128"/>
  <c r="M82" i="128"/>
  <c r="L82" i="128"/>
  <c r="K82" i="128"/>
  <c r="J82" i="128"/>
  <c r="M80" i="128"/>
  <c r="L80" i="128"/>
  <c r="K80" i="128"/>
  <c r="J80" i="128"/>
  <c r="M79" i="128"/>
  <c r="L79" i="128"/>
  <c r="K79" i="128"/>
  <c r="R79" i="128" s="1"/>
  <c r="T79" i="128" s="1"/>
  <c r="J79" i="128"/>
  <c r="M78" i="128"/>
  <c r="L78" i="128"/>
  <c r="R78" i="128" s="1"/>
  <c r="K78" i="128"/>
  <c r="J78" i="128"/>
  <c r="M77" i="128"/>
  <c r="R77" i="128" s="1"/>
  <c r="T77" i="128" s="1"/>
  <c r="L77" i="128"/>
  <c r="K77" i="128"/>
  <c r="J77" i="128"/>
  <c r="M76" i="128"/>
  <c r="L76" i="128"/>
  <c r="K76" i="128"/>
  <c r="J76" i="128"/>
  <c r="M74" i="128"/>
  <c r="L74" i="128"/>
  <c r="K74" i="128"/>
  <c r="R74" i="128" s="1"/>
  <c r="T74" i="128" s="1"/>
  <c r="J74" i="128"/>
  <c r="M73" i="128"/>
  <c r="R73" i="128" s="1"/>
  <c r="T73" i="128" s="1"/>
  <c r="L73" i="128"/>
  <c r="K73" i="128"/>
  <c r="J73" i="128"/>
  <c r="M72" i="128"/>
  <c r="L72" i="128"/>
  <c r="K72" i="128"/>
  <c r="J72" i="128"/>
  <c r="M71" i="128"/>
  <c r="L71" i="128"/>
  <c r="K71" i="128"/>
  <c r="J71" i="128"/>
  <c r="M70" i="128"/>
  <c r="L70" i="128"/>
  <c r="K70" i="128"/>
  <c r="J70" i="128"/>
  <c r="R68" i="128"/>
  <c r="T68" i="128" s="1"/>
  <c r="M68" i="128"/>
  <c r="L68" i="128"/>
  <c r="K68" i="128"/>
  <c r="J68" i="128"/>
  <c r="M67" i="128"/>
  <c r="L67" i="128"/>
  <c r="R67" i="128" s="1"/>
  <c r="T67" i="128" s="1"/>
  <c r="K67" i="128"/>
  <c r="J67" i="128"/>
  <c r="M66" i="128"/>
  <c r="L66" i="128"/>
  <c r="K66" i="128"/>
  <c r="R66" i="128" s="1"/>
  <c r="T66" i="128" s="1"/>
  <c r="J66" i="128"/>
  <c r="M65" i="128"/>
  <c r="L65" i="128"/>
  <c r="K65" i="128"/>
  <c r="J65" i="128"/>
  <c r="M64" i="128"/>
  <c r="L64" i="128"/>
  <c r="R64" i="128" s="1"/>
  <c r="T64" i="128" s="1"/>
  <c r="K64" i="128"/>
  <c r="J64" i="128"/>
  <c r="J54" i="128"/>
  <c r="R53" i="128"/>
  <c r="T53" i="128" s="1"/>
  <c r="J53" i="128"/>
  <c r="J52" i="128"/>
  <c r="R51" i="128"/>
  <c r="J51" i="128"/>
  <c r="J50" i="128"/>
  <c r="R48" i="128"/>
  <c r="J48" i="128"/>
  <c r="J47" i="128"/>
  <c r="R46" i="128"/>
  <c r="J46" i="128"/>
  <c r="J45" i="128"/>
  <c r="R44" i="128"/>
  <c r="J44" i="128"/>
  <c r="R42" i="128"/>
  <c r="J42" i="128"/>
  <c r="R41" i="128"/>
  <c r="J41" i="128"/>
  <c r="J40" i="128"/>
  <c r="J39" i="128"/>
  <c r="R38" i="128"/>
  <c r="J38" i="128"/>
  <c r="J36" i="128"/>
  <c r="R35" i="128"/>
  <c r="J35" i="128"/>
  <c r="J34" i="128"/>
  <c r="R33" i="128"/>
  <c r="J33" i="128"/>
  <c r="R32" i="128"/>
  <c r="J32" i="128"/>
  <c r="AA31" i="128"/>
  <c r="AJ6" i="128" s="1"/>
  <c r="AJ30" i="128" s="1"/>
  <c r="Z31" i="128"/>
  <c r="AI6" i="128" s="1"/>
  <c r="AI30" i="128" s="1"/>
  <c r="Y31" i="128"/>
  <c r="AH6" i="128" s="1"/>
  <c r="AH30" i="128" s="1"/>
  <c r="X31" i="128"/>
  <c r="AG6" i="128" s="1"/>
  <c r="AG30" i="128" s="1"/>
  <c r="R80" i="128" l="1"/>
  <c r="T80" i="128" s="1"/>
  <c r="T51" i="129"/>
  <c r="T32" i="131"/>
  <c r="R65" i="129"/>
  <c r="T65" i="129" s="1"/>
  <c r="T78" i="130"/>
  <c r="T85" i="130"/>
  <c r="T46" i="131"/>
  <c r="T80" i="131"/>
  <c r="T79" i="132"/>
  <c r="T32" i="128"/>
  <c r="R71" i="128"/>
  <c r="T71" i="128" s="1"/>
  <c r="R65" i="128"/>
  <c r="T65" i="128" s="1"/>
  <c r="T53" i="129"/>
  <c r="R76" i="129"/>
  <c r="T76" i="129" s="1"/>
  <c r="T39" i="130"/>
  <c r="T79" i="130"/>
  <c r="T86" i="130"/>
  <c r="T40" i="131"/>
  <c r="T67" i="131"/>
  <c r="T73" i="132"/>
  <c r="T78" i="128"/>
  <c r="T33" i="128"/>
  <c r="R72" i="128"/>
  <c r="T72" i="128" s="1"/>
  <c r="R82" i="128"/>
  <c r="T82" i="128" s="1"/>
  <c r="R83" i="129"/>
  <c r="T83" i="129" s="1"/>
  <c r="R86" i="129"/>
  <c r="T86" i="129" s="1"/>
  <c r="T51" i="128"/>
  <c r="T42" i="128"/>
  <c r="R76" i="128"/>
  <c r="T76" i="128" s="1"/>
  <c r="T33" i="130"/>
  <c r="T80" i="130"/>
  <c r="T48" i="131"/>
  <c r="T83" i="131"/>
  <c r="T67" i="132"/>
  <c r="AE38" i="133"/>
  <c r="Z38" i="133"/>
  <c r="Z31" i="133" s="1"/>
  <c r="AJ39" i="133" s="1"/>
  <c r="AJ40" i="133" s="1"/>
  <c r="T82" i="130"/>
  <c r="T70" i="131"/>
  <c r="AE39" i="133"/>
  <c r="AA38" i="133"/>
  <c r="X38" i="133" s="1"/>
  <c r="X31" i="133" s="1"/>
  <c r="AH39" i="133" s="1"/>
  <c r="AH40" i="133" s="1"/>
  <c r="T35" i="128"/>
  <c r="R70" i="128"/>
  <c r="T70" i="128" s="1"/>
  <c r="T75" i="128" s="1"/>
  <c r="Y69" i="128" s="1"/>
  <c r="R86" i="128"/>
  <c r="T86" i="128" s="1"/>
  <c r="T87" i="128" s="1"/>
  <c r="R80" i="129"/>
  <c r="T80" i="129" s="1"/>
  <c r="R84" i="129"/>
  <c r="T84" i="129" s="1"/>
  <c r="T87" i="129" s="1"/>
  <c r="AA69" i="129" s="1"/>
  <c r="AA63" i="129" s="1"/>
  <c r="T64" i="130"/>
  <c r="T83" i="130"/>
  <c r="T51" i="131"/>
  <c r="T78" i="131"/>
  <c r="T64" i="129"/>
  <c r="T69" i="129" s="1"/>
  <c r="R71" i="129"/>
  <c r="T71" i="129" s="1"/>
  <c r="T75" i="129" s="1"/>
  <c r="Y69" i="129" s="1"/>
  <c r="R74" i="129"/>
  <c r="T74" i="129" s="1"/>
  <c r="T38" i="131"/>
  <c r="T78" i="132"/>
  <c r="T34" i="132"/>
  <c r="T33" i="132"/>
  <c r="T36" i="132"/>
  <c r="T46" i="132"/>
  <c r="T39" i="132"/>
  <c r="T41" i="132"/>
  <c r="T53" i="132"/>
  <c r="T47" i="132"/>
  <c r="T44" i="132"/>
  <c r="T50" i="132"/>
  <c r="T64" i="132"/>
  <c r="T70" i="132"/>
  <c r="T76" i="132"/>
  <c r="T82" i="132"/>
  <c r="T32" i="132"/>
  <c r="T35" i="132"/>
  <c r="T42" i="132"/>
  <c r="T45" i="132"/>
  <c r="T48" i="132"/>
  <c r="T51" i="132"/>
  <c r="T54" i="132"/>
  <c r="T65" i="132"/>
  <c r="T68" i="132"/>
  <c r="T71" i="132"/>
  <c r="T74" i="132"/>
  <c r="T77" i="132"/>
  <c r="T80" i="132"/>
  <c r="T83" i="132"/>
  <c r="T86" i="132"/>
  <c r="T84" i="131"/>
  <c r="T64" i="131"/>
  <c r="T69" i="131" s="1"/>
  <c r="T74" i="131"/>
  <c r="T77" i="131"/>
  <c r="T85" i="131"/>
  <c r="T68" i="131"/>
  <c r="T71" i="131"/>
  <c r="T79" i="131"/>
  <c r="T82" i="131"/>
  <c r="T65" i="131"/>
  <c r="T73" i="131"/>
  <c r="T76" i="131"/>
  <c r="T86" i="131"/>
  <c r="T36" i="131"/>
  <c r="T39" i="131"/>
  <c r="T52" i="131"/>
  <c r="T41" i="131"/>
  <c r="T33" i="131"/>
  <c r="T42" i="131"/>
  <c r="T45" i="131"/>
  <c r="T35" i="131"/>
  <c r="T47" i="131"/>
  <c r="T50" i="131"/>
  <c r="T53" i="131"/>
  <c r="T55" i="131" s="1"/>
  <c r="AF39" i="131" s="1"/>
  <c r="T44" i="131"/>
  <c r="T49" i="131" s="1"/>
  <c r="AF38" i="131" s="1"/>
  <c r="T54" i="131"/>
  <c r="T87" i="130"/>
  <c r="R76" i="130"/>
  <c r="T76" i="130" s="1"/>
  <c r="T68" i="130"/>
  <c r="R65" i="130"/>
  <c r="T65" i="130" s="1"/>
  <c r="T67" i="130"/>
  <c r="R70" i="130"/>
  <c r="T70" i="130" s="1"/>
  <c r="R71" i="130"/>
  <c r="T71" i="130" s="1"/>
  <c r="R72" i="130"/>
  <c r="T72" i="130" s="1"/>
  <c r="R73" i="130"/>
  <c r="T73" i="130" s="1"/>
  <c r="R74" i="130"/>
  <c r="T74" i="130" s="1"/>
  <c r="T32" i="130"/>
  <c r="T34" i="130"/>
  <c r="T36" i="130"/>
  <c r="T42" i="130"/>
  <c r="T50" i="130"/>
  <c r="T52" i="130"/>
  <c r="T54" i="130"/>
  <c r="T38" i="130"/>
  <c r="T44" i="130"/>
  <c r="T46" i="130"/>
  <c r="T49" i="130" s="1"/>
  <c r="AF38" i="130" s="1"/>
  <c r="T48" i="130"/>
  <c r="T47" i="130"/>
  <c r="T35" i="130"/>
  <c r="T41" i="130"/>
  <c r="T51" i="130"/>
  <c r="AA63" i="130"/>
  <c r="T69" i="130"/>
  <c r="Z63" i="130" s="1"/>
  <c r="T38" i="129"/>
  <c r="T52" i="129"/>
  <c r="T54" i="129"/>
  <c r="T32" i="129"/>
  <c r="T34" i="129"/>
  <c r="T36" i="129"/>
  <c r="T39" i="129"/>
  <c r="T33" i="129"/>
  <c r="T40" i="129"/>
  <c r="T45" i="129"/>
  <c r="T42" i="129"/>
  <c r="T50" i="129"/>
  <c r="T55" i="129" s="1"/>
  <c r="AF39" i="129" s="1"/>
  <c r="T44" i="129"/>
  <c r="T46" i="129"/>
  <c r="T48" i="129"/>
  <c r="T35" i="129"/>
  <c r="T47" i="129"/>
  <c r="T41" i="129"/>
  <c r="T81" i="129"/>
  <c r="R34" i="128"/>
  <c r="T34" i="128" s="1"/>
  <c r="T44" i="128"/>
  <c r="T48" i="128"/>
  <c r="R36" i="128"/>
  <c r="T36" i="128" s="1"/>
  <c r="R39" i="128"/>
  <c r="T39" i="128" s="1"/>
  <c r="R50" i="128"/>
  <c r="T50" i="128" s="1"/>
  <c r="R52" i="128"/>
  <c r="T52" i="128" s="1"/>
  <c r="R54" i="128"/>
  <c r="T54" i="128" s="1"/>
  <c r="T38" i="128"/>
  <c r="T41" i="128"/>
  <c r="T46" i="128"/>
  <c r="R40" i="128"/>
  <c r="T40" i="128" s="1"/>
  <c r="R45" i="128"/>
  <c r="T45" i="128" s="1"/>
  <c r="R47" i="128"/>
  <c r="T47" i="128" s="1"/>
  <c r="T69" i="128"/>
  <c r="M86" i="126"/>
  <c r="L86" i="126"/>
  <c r="R86" i="126" s="1"/>
  <c r="T86" i="126" s="1"/>
  <c r="K86" i="126"/>
  <c r="J86" i="126"/>
  <c r="M85" i="126"/>
  <c r="L85" i="126"/>
  <c r="K85" i="126"/>
  <c r="J85" i="126"/>
  <c r="M84" i="126"/>
  <c r="L84" i="126"/>
  <c r="K84" i="126"/>
  <c r="R84" i="126" s="1"/>
  <c r="T84" i="126" s="1"/>
  <c r="J84" i="126"/>
  <c r="M83" i="126"/>
  <c r="L83" i="126"/>
  <c r="K83" i="126"/>
  <c r="J83" i="126"/>
  <c r="M82" i="126"/>
  <c r="L82" i="126"/>
  <c r="R82" i="126" s="1"/>
  <c r="T82" i="126" s="1"/>
  <c r="K82" i="126"/>
  <c r="J82" i="126"/>
  <c r="M80" i="126"/>
  <c r="L80" i="126"/>
  <c r="K80" i="126"/>
  <c r="R80" i="126" s="1"/>
  <c r="T80" i="126" s="1"/>
  <c r="J80" i="126"/>
  <c r="M79" i="126"/>
  <c r="L79" i="126"/>
  <c r="K79" i="126"/>
  <c r="R79" i="126" s="1"/>
  <c r="T79" i="126" s="1"/>
  <c r="J79" i="126"/>
  <c r="M78" i="126"/>
  <c r="R78" i="126" s="1"/>
  <c r="T78" i="126" s="1"/>
  <c r="L78" i="126"/>
  <c r="K78" i="126"/>
  <c r="J78" i="126"/>
  <c r="M77" i="126"/>
  <c r="L77" i="126"/>
  <c r="K77" i="126"/>
  <c r="J77" i="126"/>
  <c r="M76" i="126"/>
  <c r="L76" i="126"/>
  <c r="R76" i="126" s="1"/>
  <c r="T76" i="126" s="1"/>
  <c r="K76" i="126"/>
  <c r="J76" i="126"/>
  <c r="M74" i="126"/>
  <c r="L74" i="126"/>
  <c r="K74" i="126"/>
  <c r="J74" i="126"/>
  <c r="M73" i="126"/>
  <c r="L73" i="126"/>
  <c r="R73" i="126" s="1"/>
  <c r="T73" i="126" s="1"/>
  <c r="K73" i="126"/>
  <c r="J73" i="126"/>
  <c r="M72" i="126"/>
  <c r="L72" i="126"/>
  <c r="K72" i="126"/>
  <c r="J72" i="126"/>
  <c r="M71" i="126"/>
  <c r="L71" i="126"/>
  <c r="K71" i="126"/>
  <c r="R71" i="126" s="1"/>
  <c r="T71" i="126" s="1"/>
  <c r="J71" i="126"/>
  <c r="M70" i="126"/>
  <c r="L70" i="126"/>
  <c r="K70" i="126"/>
  <c r="J70" i="126"/>
  <c r="M68" i="126"/>
  <c r="L68" i="126"/>
  <c r="K68" i="126"/>
  <c r="R68" i="126" s="1"/>
  <c r="T68" i="126" s="1"/>
  <c r="J68" i="126"/>
  <c r="M67" i="126"/>
  <c r="L67" i="126"/>
  <c r="K67" i="126"/>
  <c r="J67" i="126"/>
  <c r="M66" i="126"/>
  <c r="L66" i="126"/>
  <c r="K66" i="126"/>
  <c r="J66" i="126"/>
  <c r="M65" i="126"/>
  <c r="L65" i="126"/>
  <c r="R65" i="126" s="1"/>
  <c r="T65" i="126" s="1"/>
  <c r="K65" i="126"/>
  <c r="J65" i="126"/>
  <c r="M64" i="126"/>
  <c r="L64" i="126"/>
  <c r="K64" i="126"/>
  <c r="R64" i="126" s="1"/>
  <c r="T64" i="126" s="1"/>
  <c r="J64" i="126"/>
  <c r="M54" i="126"/>
  <c r="L54" i="126"/>
  <c r="K54" i="126"/>
  <c r="R54" i="126" s="1"/>
  <c r="J54" i="126"/>
  <c r="M53" i="126"/>
  <c r="L53" i="126"/>
  <c r="K53" i="126"/>
  <c r="J53" i="126"/>
  <c r="M52" i="126"/>
  <c r="L52" i="126"/>
  <c r="K52" i="126"/>
  <c r="J52" i="126"/>
  <c r="M51" i="126"/>
  <c r="L51" i="126"/>
  <c r="K51" i="126"/>
  <c r="J51" i="126"/>
  <c r="M50" i="126"/>
  <c r="L50" i="126"/>
  <c r="K50" i="126"/>
  <c r="J50" i="126"/>
  <c r="M48" i="126"/>
  <c r="K48" i="126"/>
  <c r="J48" i="126"/>
  <c r="M47" i="126"/>
  <c r="L47" i="126"/>
  <c r="K47" i="126"/>
  <c r="J47" i="126"/>
  <c r="M46" i="126"/>
  <c r="L46" i="126"/>
  <c r="K46" i="126"/>
  <c r="J46" i="126"/>
  <c r="M45" i="126"/>
  <c r="L45" i="126"/>
  <c r="K45" i="126"/>
  <c r="J45" i="126"/>
  <c r="M44" i="126"/>
  <c r="L44" i="126"/>
  <c r="K44" i="126"/>
  <c r="J44" i="126"/>
  <c r="M42" i="126"/>
  <c r="L42" i="126"/>
  <c r="K42" i="126"/>
  <c r="J42" i="126"/>
  <c r="M41" i="126"/>
  <c r="K41" i="126"/>
  <c r="J41" i="126"/>
  <c r="M40" i="126"/>
  <c r="L40" i="126"/>
  <c r="K40" i="126"/>
  <c r="J40" i="126"/>
  <c r="M39" i="126"/>
  <c r="L39" i="126"/>
  <c r="K39" i="126"/>
  <c r="J39" i="126"/>
  <c r="M38" i="126"/>
  <c r="L38" i="126"/>
  <c r="K38" i="126"/>
  <c r="J38" i="126"/>
  <c r="M36" i="126"/>
  <c r="L36" i="126"/>
  <c r="K36" i="126"/>
  <c r="J36" i="126"/>
  <c r="M35" i="126"/>
  <c r="L35" i="126"/>
  <c r="K35" i="126"/>
  <c r="J35" i="126"/>
  <c r="M34" i="126"/>
  <c r="L34" i="126"/>
  <c r="K34" i="126"/>
  <c r="J34" i="126"/>
  <c r="M33" i="126"/>
  <c r="L33" i="126"/>
  <c r="K33" i="126"/>
  <c r="J33" i="126"/>
  <c r="M32" i="126"/>
  <c r="L32" i="126"/>
  <c r="K32" i="126"/>
  <c r="J32" i="126"/>
  <c r="R72" i="126" l="1"/>
  <c r="T72" i="126" s="1"/>
  <c r="R85" i="126"/>
  <c r="T85" i="126" s="1"/>
  <c r="T75" i="132"/>
  <c r="AA31" i="133"/>
  <c r="AK39" i="133" s="1"/>
  <c r="AK40" i="133" s="1"/>
  <c r="R51" i="126"/>
  <c r="T51" i="126" s="1"/>
  <c r="T81" i="130"/>
  <c r="Z69" i="129"/>
  <c r="Z63" i="129" s="1"/>
  <c r="T55" i="130"/>
  <c r="AF39" i="130" s="1"/>
  <c r="R66" i="126"/>
  <c r="T66" i="126" s="1"/>
  <c r="R70" i="126"/>
  <c r="T70" i="126" s="1"/>
  <c r="R83" i="126"/>
  <c r="T83" i="126" s="1"/>
  <c r="T87" i="126" s="1"/>
  <c r="R40" i="126"/>
  <c r="T40" i="126" s="1"/>
  <c r="T37" i="130"/>
  <c r="AF36" i="130" s="1"/>
  <c r="T43" i="131"/>
  <c r="AF37" i="131" s="1"/>
  <c r="R52" i="126"/>
  <c r="R77" i="126"/>
  <c r="T77" i="126" s="1"/>
  <c r="T55" i="128"/>
  <c r="AF39" i="128" s="1"/>
  <c r="T81" i="128"/>
  <c r="Z69" i="128" s="1"/>
  <c r="Z63" i="128" s="1"/>
  <c r="T37" i="129"/>
  <c r="AF36" i="129" s="1"/>
  <c r="R67" i="126"/>
  <c r="T67" i="126" s="1"/>
  <c r="T75" i="131"/>
  <c r="R41" i="126"/>
  <c r="T41" i="126" s="1"/>
  <c r="R50" i="126"/>
  <c r="T50" i="126" s="1"/>
  <c r="R53" i="126"/>
  <c r="R74" i="126"/>
  <c r="T74" i="126" s="1"/>
  <c r="T37" i="131"/>
  <c r="AF36" i="131" s="1"/>
  <c r="T37" i="132"/>
  <c r="T43" i="132"/>
  <c r="T69" i="132"/>
  <c r="T87" i="132"/>
  <c r="T55" i="132"/>
  <c r="AE39" i="132" s="1"/>
  <c r="T81" i="132"/>
  <c r="T49" i="132"/>
  <c r="T81" i="131"/>
  <c r="T87" i="131"/>
  <c r="T75" i="130"/>
  <c r="T43" i="130"/>
  <c r="AF37" i="130" s="1"/>
  <c r="X63" i="130"/>
  <c r="Y63" i="130"/>
  <c r="T43" i="129"/>
  <c r="AF37" i="129" s="1"/>
  <c r="T49" i="129"/>
  <c r="AF38" i="129" s="1"/>
  <c r="X69" i="129"/>
  <c r="X63" i="129" s="1"/>
  <c r="Y63" i="129"/>
  <c r="T37" i="128"/>
  <c r="AF36" i="128" s="1"/>
  <c r="T43" i="128"/>
  <c r="AF37" i="128" s="1"/>
  <c r="T49" i="128"/>
  <c r="AF38" i="128" s="1"/>
  <c r="Y63" i="128"/>
  <c r="AA69" i="128"/>
  <c r="AA63" i="128" s="1"/>
  <c r="R32" i="126"/>
  <c r="T32" i="126" s="1"/>
  <c r="R34" i="126"/>
  <c r="T34" i="126" s="1"/>
  <c r="R36" i="126"/>
  <c r="T36" i="126" s="1"/>
  <c r="R39" i="126"/>
  <c r="T39" i="126" s="1"/>
  <c r="R47" i="126"/>
  <c r="T47" i="126" s="1"/>
  <c r="T52" i="126"/>
  <c r="R45" i="126"/>
  <c r="T45" i="126" s="1"/>
  <c r="R48" i="126"/>
  <c r="T48" i="126" s="1"/>
  <c r="T53" i="126"/>
  <c r="T54" i="126"/>
  <c r="R35" i="126"/>
  <c r="T35" i="126" s="1"/>
  <c r="R38" i="126"/>
  <c r="T38" i="126" s="1"/>
  <c r="R42" i="126"/>
  <c r="T42" i="126" s="1"/>
  <c r="R44" i="126"/>
  <c r="T44" i="126" s="1"/>
  <c r="R33" i="126"/>
  <c r="T33" i="126" s="1"/>
  <c r="T37" i="126" s="1"/>
  <c r="AF36" i="126" s="1"/>
  <c r="R46" i="126"/>
  <c r="T46" i="126" s="1"/>
  <c r="T69" i="126"/>
  <c r="T81" i="126"/>
  <c r="T75" i="126"/>
  <c r="AE38" i="132" l="1"/>
  <c r="Z37" i="132"/>
  <c r="Z31" i="132" s="1"/>
  <c r="AJ39" i="132" s="1"/>
  <c r="AJ40" i="132" s="1"/>
  <c r="Y69" i="126"/>
  <c r="X69" i="126" s="1"/>
  <c r="X63" i="126" s="1"/>
  <c r="Z69" i="126"/>
  <c r="Z63" i="126" s="1"/>
  <c r="AE37" i="132"/>
  <c r="Y37" i="132"/>
  <c r="Y31" i="132" s="1"/>
  <c r="AI39" i="132" s="1"/>
  <c r="AI40" i="132" s="1"/>
  <c r="AE36" i="132"/>
  <c r="X37" i="132"/>
  <c r="X69" i="128"/>
  <c r="X63" i="128" s="1"/>
  <c r="T43" i="126"/>
  <c r="AF37" i="126" s="1"/>
  <c r="T49" i="126"/>
  <c r="T55" i="126"/>
  <c r="AF39" i="126" s="1"/>
  <c r="AA31" i="126"/>
  <c r="AJ6" i="126" s="1"/>
  <c r="AJ30" i="126" s="1"/>
  <c r="Y63" i="126"/>
  <c r="AF38" i="126"/>
  <c r="Z31" i="126"/>
  <c r="AI6" i="126" s="1"/>
  <c r="AI30" i="126" s="1"/>
  <c r="AA69" i="126"/>
  <c r="AA63" i="126" s="1"/>
  <c r="M86" i="125"/>
  <c r="L86" i="125"/>
  <c r="K86" i="125"/>
  <c r="R86" i="125" s="1"/>
  <c r="J86" i="125"/>
  <c r="M85" i="125"/>
  <c r="L85" i="125"/>
  <c r="K85" i="125"/>
  <c r="J85" i="125"/>
  <c r="M84" i="125"/>
  <c r="L84" i="125"/>
  <c r="K84" i="125"/>
  <c r="J84" i="125"/>
  <c r="M83" i="125"/>
  <c r="L83" i="125"/>
  <c r="K83" i="125"/>
  <c r="R83" i="125" s="1"/>
  <c r="J83" i="125"/>
  <c r="M82" i="125"/>
  <c r="L82" i="125"/>
  <c r="K82" i="125"/>
  <c r="J82" i="125"/>
  <c r="M80" i="125"/>
  <c r="L80" i="125"/>
  <c r="K80" i="125"/>
  <c r="J80" i="125"/>
  <c r="M79" i="125"/>
  <c r="L79" i="125"/>
  <c r="K79" i="125"/>
  <c r="J79" i="125"/>
  <c r="R78" i="125"/>
  <c r="M78" i="125"/>
  <c r="L78" i="125"/>
  <c r="K78" i="125"/>
  <c r="J78" i="125"/>
  <c r="M77" i="125"/>
  <c r="L77" i="125"/>
  <c r="K77" i="125"/>
  <c r="J77" i="125"/>
  <c r="M76" i="125"/>
  <c r="L76" i="125"/>
  <c r="K76" i="125"/>
  <c r="J76" i="125"/>
  <c r="M74" i="125"/>
  <c r="L74" i="125"/>
  <c r="K74" i="125"/>
  <c r="J74" i="125"/>
  <c r="M73" i="125"/>
  <c r="L73" i="125"/>
  <c r="K73" i="125"/>
  <c r="J73" i="125"/>
  <c r="M72" i="125"/>
  <c r="L72" i="125"/>
  <c r="K72" i="125"/>
  <c r="J72" i="125"/>
  <c r="M71" i="125"/>
  <c r="L71" i="125"/>
  <c r="K71" i="125"/>
  <c r="R71" i="125" s="1"/>
  <c r="J71" i="125"/>
  <c r="M70" i="125"/>
  <c r="L70" i="125"/>
  <c r="K70" i="125"/>
  <c r="J70" i="125"/>
  <c r="M68" i="125"/>
  <c r="L68" i="125"/>
  <c r="K68" i="125"/>
  <c r="J68" i="125"/>
  <c r="M67" i="125"/>
  <c r="L67" i="125"/>
  <c r="K67" i="125"/>
  <c r="J67" i="125"/>
  <c r="M66" i="125"/>
  <c r="L66" i="125"/>
  <c r="K66" i="125"/>
  <c r="J66" i="125"/>
  <c r="M65" i="125"/>
  <c r="L65" i="125"/>
  <c r="K65" i="125"/>
  <c r="J65" i="125"/>
  <c r="M64" i="125"/>
  <c r="L64" i="125"/>
  <c r="K64" i="125"/>
  <c r="J64" i="125"/>
  <c r="M54" i="125"/>
  <c r="L54" i="125"/>
  <c r="K54" i="125"/>
  <c r="J54" i="125"/>
  <c r="M53" i="125"/>
  <c r="L53" i="125"/>
  <c r="K53" i="125"/>
  <c r="J53" i="125"/>
  <c r="M52" i="125"/>
  <c r="L52" i="125"/>
  <c r="K52" i="125"/>
  <c r="J52" i="125"/>
  <c r="M51" i="125"/>
  <c r="L51" i="125"/>
  <c r="K51" i="125"/>
  <c r="J51" i="125"/>
  <c r="M50" i="125"/>
  <c r="L50" i="125"/>
  <c r="K50" i="125"/>
  <c r="J50" i="125"/>
  <c r="M48" i="125"/>
  <c r="K48" i="125"/>
  <c r="J48" i="125"/>
  <c r="M47" i="125"/>
  <c r="L47" i="125"/>
  <c r="K47" i="125"/>
  <c r="R47" i="125" s="1"/>
  <c r="T47" i="125" s="1"/>
  <c r="J47" i="125"/>
  <c r="M46" i="125"/>
  <c r="L46" i="125"/>
  <c r="K46" i="125"/>
  <c r="J46" i="125"/>
  <c r="M45" i="125"/>
  <c r="L45" i="125"/>
  <c r="K45" i="125"/>
  <c r="J45" i="125"/>
  <c r="M44" i="125"/>
  <c r="L44" i="125"/>
  <c r="K44" i="125"/>
  <c r="R44" i="125" s="1"/>
  <c r="T44" i="125" s="1"/>
  <c r="J44" i="125"/>
  <c r="M42" i="125"/>
  <c r="L42" i="125"/>
  <c r="K42" i="125"/>
  <c r="J42" i="125"/>
  <c r="M41" i="125"/>
  <c r="K41" i="125"/>
  <c r="R41" i="125" s="1"/>
  <c r="J41" i="125"/>
  <c r="M40" i="125"/>
  <c r="L40" i="125"/>
  <c r="K40" i="125"/>
  <c r="J40" i="125"/>
  <c r="M39" i="125"/>
  <c r="L39" i="125"/>
  <c r="K39" i="125"/>
  <c r="J39" i="125"/>
  <c r="M38" i="125"/>
  <c r="L38" i="125"/>
  <c r="K38" i="125"/>
  <c r="J38" i="125"/>
  <c r="M36" i="125"/>
  <c r="L36" i="125"/>
  <c r="K36" i="125"/>
  <c r="J36" i="125"/>
  <c r="M35" i="125"/>
  <c r="L35" i="125"/>
  <c r="K35" i="125"/>
  <c r="J35" i="125"/>
  <c r="M34" i="125"/>
  <c r="L34" i="125"/>
  <c r="K34" i="125"/>
  <c r="R34" i="125" s="1"/>
  <c r="J34" i="125"/>
  <c r="M33" i="125"/>
  <c r="L33" i="125"/>
  <c r="K33" i="125"/>
  <c r="R33" i="125" s="1"/>
  <c r="J33" i="125"/>
  <c r="M32" i="125"/>
  <c r="L32" i="125"/>
  <c r="K32" i="125"/>
  <c r="J32" i="125"/>
  <c r="M86" i="124"/>
  <c r="L86" i="124"/>
  <c r="K86" i="124"/>
  <c r="R86" i="124" s="1"/>
  <c r="J86" i="124"/>
  <c r="M85" i="124"/>
  <c r="L85" i="124"/>
  <c r="K85" i="124"/>
  <c r="J85" i="124"/>
  <c r="M84" i="124"/>
  <c r="L84" i="124"/>
  <c r="K84" i="124"/>
  <c r="J84" i="124"/>
  <c r="M83" i="124"/>
  <c r="L83" i="124"/>
  <c r="K83" i="124"/>
  <c r="R83" i="124" s="1"/>
  <c r="T83" i="124" s="1"/>
  <c r="J83" i="124"/>
  <c r="M82" i="124"/>
  <c r="R82" i="124" s="1"/>
  <c r="T82" i="124" s="1"/>
  <c r="L82" i="124"/>
  <c r="K82" i="124"/>
  <c r="J82" i="124"/>
  <c r="M80" i="124"/>
  <c r="L80" i="124"/>
  <c r="K80" i="124"/>
  <c r="R80" i="124" s="1"/>
  <c r="J80" i="124"/>
  <c r="M79" i="124"/>
  <c r="L79" i="124"/>
  <c r="K79" i="124"/>
  <c r="R79" i="124" s="1"/>
  <c r="T79" i="124" s="1"/>
  <c r="J79" i="124"/>
  <c r="M78" i="124"/>
  <c r="L78" i="124"/>
  <c r="K78" i="124"/>
  <c r="J78" i="124"/>
  <c r="M77" i="124"/>
  <c r="L77" i="124"/>
  <c r="K77" i="124"/>
  <c r="R77" i="124" s="1"/>
  <c r="T77" i="124" s="1"/>
  <c r="J77" i="124"/>
  <c r="M76" i="124"/>
  <c r="L76" i="124"/>
  <c r="K76" i="124"/>
  <c r="R76" i="124" s="1"/>
  <c r="T76" i="124" s="1"/>
  <c r="J76" i="124"/>
  <c r="M74" i="124"/>
  <c r="L74" i="124"/>
  <c r="K74" i="124"/>
  <c r="J74" i="124"/>
  <c r="M73" i="124"/>
  <c r="L73" i="124"/>
  <c r="K73" i="124"/>
  <c r="J73" i="124"/>
  <c r="M72" i="124"/>
  <c r="L72" i="124"/>
  <c r="K72" i="124"/>
  <c r="J72" i="124"/>
  <c r="M71" i="124"/>
  <c r="L71" i="124"/>
  <c r="K71" i="124"/>
  <c r="J71" i="124"/>
  <c r="M70" i="124"/>
  <c r="L70" i="124"/>
  <c r="K70" i="124"/>
  <c r="J70" i="124"/>
  <c r="M68" i="124"/>
  <c r="L68" i="124"/>
  <c r="K68" i="124"/>
  <c r="R68" i="124" s="1"/>
  <c r="T68" i="124" s="1"/>
  <c r="J68" i="124"/>
  <c r="M67" i="124"/>
  <c r="L67" i="124"/>
  <c r="K67" i="124"/>
  <c r="R67" i="124" s="1"/>
  <c r="J67" i="124"/>
  <c r="R66" i="124"/>
  <c r="T66" i="124" s="1"/>
  <c r="M66" i="124"/>
  <c r="L66" i="124"/>
  <c r="K66" i="124"/>
  <c r="J66" i="124"/>
  <c r="M65" i="124"/>
  <c r="L65" i="124"/>
  <c r="K65" i="124"/>
  <c r="J65" i="124"/>
  <c r="M64" i="124"/>
  <c r="L64" i="124"/>
  <c r="K64" i="124"/>
  <c r="R64" i="124" s="1"/>
  <c r="T64" i="124" s="1"/>
  <c r="J64" i="124"/>
  <c r="AA63" i="124"/>
  <c r="Z63" i="124"/>
  <c r="Y63" i="124"/>
  <c r="X63" i="124"/>
  <c r="M54" i="124"/>
  <c r="L54" i="124"/>
  <c r="K54" i="124"/>
  <c r="J54" i="124"/>
  <c r="M53" i="124"/>
  <c r="L53" i="124"/>
  <c r="K53" i="124"/>
  <c r="R53" i="124" s="1"/>
  <c r="T53" i="124" s="1"/>
  <c r="J53" i="124"/>
  <c r="M52" i="124"/>
  <c r="L52" i="124"/>
  <c r="K52" i="124"/>
  <c r="J52" i="124"/>
  <c r="M51" i="124"/>
  <c r="L51" i="124"/>
  <c r="K51" i="124"/>
  <c r="J51" i="124"/>
  <c r="M50" i="124"/>
  <c r="L50" i="124"/>
  <c r="K50" i="124"/>
  <c r="J50" i="124"/>
  <c r="M48" i="124"/>
  <c r="K48" i="124"/>
  <c r="J48" i="124"/>
  <c r="M47" i="124"/>
  <c r="L47" i="124"/>
  <c r="K47" i="124"/>
  <c r="J47" i="124"/>
  <c r="M46" i="124"/>
  <c r="L46" i="124"/>
  <c r="K46" i="124"/>
  <c r="J46" i="124"/>
  <c r="M45" i="124"/>
  <c r="L45" i="124"/>
  <c r="K45" i="124"/>
  <c r="J45" i="124"/>
  <c r="M44" i="124"/>
  <c r="L44" i="124"/>
  <c r="K44" i="124"/>
  <c r="J44" i="124"/>
  <c r="M42" i="124"/>
  <c r="L42" i="124"/>
  <c r="K42" i="124"/>
  <c r="J42" i="124"/>
  <c r="M41" i="124"/>
  <c r="K41" i="124"/>
  <c r="J41" i="124"/>
  <c r="M40" i="124"/>
  <c r="L40" i="124"/>
  <c r="K40" i="124"/>
  <c r="J40" i="124"/>
  <c r="M39" i="124"/>
  <c r="L39" i="124"/>
  <c r="K39" i="124"/>
  <c r="J39" i="124"/>
  <c r="M38" i="124"/>
  <c r="L38" i="124"/>
  <c r="K38" i="124"/>
  <c r="J38" i="124"/>
  <c r="M36" i="124"/>
  <c r="L36" i="124"/>
  <c r="K36" i="124"/>
  <c r="J36" i="124"/>
  <c r="M35" i="124"/>
  <c r="L35" i="124"/>
  <c r="K35" i="124"/>
  <c r="J35" i="124"/>
  <c r="M34" i="124"/>
  <c r="L34" i="124"/>
  <c r="K34" i="124"/>
  <c r="J34" i="124"/>
  <c r="M33" i="124"/>
  <c r="L33" i="124"/>
  <c r="K33" i="124"/>
  <c r="J33" i="124"/>
  <c r="M32" i="124"/>
  <c r="L32" i="124"/>
  <c r="K32" i="124"/>
  <c r="J32" i="124"/>
  <c r="R47" i="124" l="1"/>
  <c r="T47" i="124" s="1"/>
  <c r="R65" i="124"/>
  <c r="T65" i="124" s="1"/>
  <c r="T69" i="124" s="1"/>
  <c r="R85" i="124"/>
  <c r="T85" i="124" s="1"/>
  <c r="T78" i="125"/>
  <c r="R72" i="124"/>
  <c r="T72" i="124" s="1"/>
  <c r="R76" i="125"/>
  <c r="T76" i="125" s="1"/>
  <c r="R68" i="125"/>
  <c r="R79" i="125"/>
  <c r="T79" i="125" s="1"/>
  <c r="T86" i="124"/>
  <c r="R66" i="125"/>
  <c r="T66" i="125" s="1"/>
  <c r="R70" i="125"/>
  <c r="T70" i="125" s="1"/>
  <c r="R77" i="125"/>
  <c r="T77" i="125" s="1"/>
  <c r="R45" i="124"/>
  <c r="T45" i="124" s="1"/>
  <c r="R70" i="124"/>
  <c r="T70" i="124" s="1"/>
  <c r="R73" i="124"/>
  <c r="T73" i="124" s="1"/>
  <c r="R45" i="125"/>
  <c r="T45" i="125" s="1"/>
  <c r="R48" i="125"/>
  <c r="T48" i="125" s="1"/>
  <c r="R80" i="125"/>
  <c r="T80" i="125" s="1"/>
  <c r="R84" i="125"/>
  <c r="T84" i="125" s="1"/>
  <c r="T80" i="124"/>
  <c r="R84" i="124"/>
  <c r="T84" i="124" s="1"/>
  <c r="T87" i="124" s="1"/>
  <c r="T67" i="124"/>
  <c r="R74" i="124"/>
  <c r="T74" i="124" s="1"/>
  <c r="R42" i="125"/>
  <c r="T42" i="125" s="1"/>
  <c r="R46" i="125"/>
  <c r="T46" i="125" s="1"/>
  <c r="R67" i="125"/>
  <c r="T67" i="125" s="1"/>
  <c r="R82" i="125"/>
  <c r="T82" i="125" s="1"/>
  <c r="R85" i="125"/>
  <c r="R51" i="124"/>
  <c r="T51" i="124" s="1"/>
  <c r="R54" i="124"/>
  <c r="T54" i="124" s="1"/>
  <c r="R71" i="124"/>
  <c r="T71" i="124" s="1"/>
  <c r="R78" i="124"/>
  <c r="T78" i="124" s="1"/>
  <c r="T81" i="124" s="1"/>
  <c r="R32" i="125"/>
  <c r="T32" i="125" s="1"/>
  <c r="R64" i="125"/>
  <c r="T64" i="125" s="1"/>
  <c r="AA37" i="132"/>
  <c r="AA31" i="132" s="1"/>
  <c r="AK39" i="132" s="1"/>
  <c r="AK40" i="132" s="1"/>
  <c r="X31" i="132"/>
  <c r="AH39" i="132" s="1"/>
  <c r="AH40" i="132" s="1"/>
  <c r="Y31" i="126"/>
  <c r="AH6" i="126" s="1"/>
  <c r="AH30" i="126" s="1"/>
  <c r="X31" i="126"/>
  <c r="AG6" i="126" s="1"/>
  <c r="AG30" i="126" s="1"/>
  <c r="T86" i="125"/>
  <c r="R65" i="125"/>
  <c r="T65" i="125" s="1"/>
  <c r="T68" i="125"/>
  <c r="T69" i="125"/>
  <c r="T85" i="125"/>
  <c r="R73" i="125"/>
  <c r="T73" i="125" s="1"/>
  <c r="T71" i="125"/>
  <c r="R72" i="125"/>
  <c r="T72" i="125" s="1"/>
  <c r="R74" i="125"/>
  <c r="T74" i="125" s="1"/>
  <c r="T83" i="125"/>
  <c r="R35" i="125"/>
  <c r="T35" i="125" s="1"/>
  <c r="R38" i="125"/>
  <c r="T38" i="125" s="1"/>
  <c r="T43" i="125" s="1"/>
  <c r="R40" i="125"/>
  <c r="T40" i="125" s="1"/>
  <c r="T41" i="125"/>
  <c r="T49" i="125"/>
  <c r="T33" i="125"/>
  <c r="R36" i="125"/>
  <c r="T36" i="125" s="1"/>
  <c r="R39" i="125"/>
  <c r="T39" i="125" s="1"/>
  <c r="T34" i="125"/>
  <c r="R50" i="125"/>
  <c r="T50" i="125" s="1"/>
  <c r="R51" i="125"/>
  <c r="T51" i="125" s="1"/>
  <c r="R52" i="125"/>
  <c r="T52" i="125" s="1"/>
  <c r="R53" i="125"/>
  <c r="T53" i="125" s="1"/>
  <c r="R54" i="125"/>
  <c r="T54" i="125" s="1"/>
  <c r="R48" i="124"/>
  <c r="T48" i="124" s="1"/>
  <c r="R40" i="124"/>
  <c r="T40" i="124" s="1"/>
  <c r="R52" i="124"/>
  <c r="T52" i="124" s="1"/>
  <c r="R50" i="124"/>
  <c r="T50" i="124" s="1"/>
  <c r="R32" i="124"/>
  <c r="T32" i="124" s="1"/>
  <c r="R33" i="124"/>
  <c r="T33" i="124" s="1"/>
  <c r="R34" i="124"/>
  <c r="T34" i="124" s="1"/>
  <c r="R35" i="124"/>
  <c r="T35" i="124" s="1"/>
  <c r="R36" i="124"/>
  <c r="T36" i="124" s="1"/>
  <c r="R39" i="124"/>
  <c r="T39" i="124" s="1"/>
  <c r="R42" i="124"/>
  <c r="T42" i="124" s="1"/>
  <c r="R38" i="124"/>
  <c r="T38" i="124" s="1"/>
  <c r="R41" i="124"/>
  <c r="T41" i="124" s="1"/>
  <c r="R44" i="124"/>
  <c r="T44" i="124" s="1"/>
  <c r="R46" i="124"/>
  <c r="T46" i="124" s="1"/>
  <c r="T81" i="125" l="1"/>
  <c r="Z69" i="125" s="1"/>
  <c r="Z63" i="125" s="1"/>
  <c r="AF37" i="125"/>
  <c r="AF38" i="125"/>
  <c r="Z36" i="125"/>
  <c r="Z31" i="125" s="1"/>
  <c r="AI6" i="125" s="1"/>
  <c r="AI30" i="125" s="1"/>
  <c r="T87" i="125"/>
  <c r="AA69" i="125" s="1"/>
  <c r="AA63" i="125" s="1"/>
  <c r="T75" i="124"/>
  <c r="T75" i="125"/>
  <c r="Y69" i="125" s="1"/>
  <c r="T37" i="125"/>
  <c r="AF36" i="125" s="1"/>
  <c r="T55" i="125"/>
  <c r="T55" i="124"/>
  <c r="AA35" i="124" s="1"/>
  <c r="T49" i="124"/>
  <c r="T37" i="124"/>
  <c r="AF36" i="124" s="1"/>
  <c r="T43" i="124"/>
  <c r="M86" i="123"/>
  <c r="L86" i="123"/>
  <c r="K86" i="123"/>
  <c r="J86" i="123"/>
  <c r="M85" i="123"/>
  <c r="L85" i="123"/>
  <c r="K85" i="123"/>
  <c r="R85" i="123" s="1"/>
  <c r="J85" i="123"/>
  <c r="M84" i="123"/>
  <c r="L84" i="123"/>
  <c r="K84" i="123"/>
  <c r="J84" i="123"/>
  <c r="M83" i="123"/>
  <c r="L83" i="123"/>
  <c r="K83" i="123"/>
  <c r="J83" i="123"/>
  <c r="M82" i="123"/>
  <c r="L82" i="123"/>
  <c r="K82" i="123"/>
  <c r="R82" i="123" s="1"/>
  <c r="J82" i="123"/>
  <c r="M80" i="123"/>
  <c r="L80" i="123"/>
  <c r="K80" i="123"/>
  <c r="R80" i="123" s="1"/>
  <c r="J80" i="123"/>
  <c r="M79" i="123"/>
  <c r="L79" i="123"/>
  <c r="K79" i="123"/>
  <c r="J79" i="123"/>
  <c r="M78" i="123"/>
  <c r="L78" i="123"/>
  <c r="K78" i="123"/>
  <c r="R78" i="123" s="1"/>
  <c r="J78" i="123"/>
  <c r="M77" i="123"/>
  <c r="L77" i="123"/>
  <c r="K77" i="123"/>
  <c r="J77" i="123"/>
  <c r="M76" i="123"/>
  <c r="L76" i="123"/>
  <c r="K76" i="123"/>
  <c r="J76" i="123"/>
  <c r="M74" i="123"/>
  <c r="L74" i="123"/>
  <c r="K74" i="123"/>
  <c r="R74" i="123" s="1"/>
  <c r="J74" i="123"/>
  <c r="M73" i="123"/>
  <c r="L73" i="123"/>
  <c r="K73" i="123"/>
  <c r="J73" i="123"/>
  <c r="M72" i="123"/>
  <c r="L72" i="123"/>
  <c r="R72" i="123" s="1"/>
  <c r="T72" i="123" s="1"/>
  <c r="K72" i="123"/>
  <c r="J72" i="123"/>
  <c r="M71" i="123"/>
  <c r="L71" i="123"/>
  <c r="K71" i="123"/>
  <c r="J71" i="123"/>
  <c r="M70" i="123"/>
  <c r="L70" i="123"/>
  <c r="K70" i="123"/>
  <c r="R70" i="123" s="1"/>
  <c r="J70" i="123"/>
  <c r="M68" i="123"/>
  <c r="L68" i="123"/>
  <c r="K68" i="123"/>
  <c r="J68" i="123"/>
  <c r="M67" i="123"/>
  <c r="L67" i="123"/>
  <c r="K67" i="123"/>
  <c r="J67" i="123"/>
  <c r="M66" i="123"/>
  <c r="L66" i="123"/>
  <c r="K66" i="123"/>
  <c r="J66" i="123"/>
  <c r="M65" i="123"/>
  <c r="L65" i="123"/>
  <c r="K65" i="123"/>
  <c r="J65" i="123"/>
  <c r="M64" i="123"/>
  <c r="L64" i="123"/>
  <c r="K64" i="123"/>
  <c r="J64" i="123"/>
  <c r="M54" i="123"/>
  <c r="L54" i="123"/>
  <c r="K54" i="123"/>
  <c r="J54" i="123"/>
  <c r="M53" i="123"/>
  <c r="L53" i="123"/>
  <c r="K53" i="123"/>
  <c r="J53" i="123"/>
  <c r="M52" i="123"/>
  <c r="L52" i="123"/>
  <c r="K52" i="123"/>
  <c r="J52" i="123"/>
  <c r="M51" i="123"/>
  <c r="L51" i="123"/>
  <c r="K51" i="123"/>
  <c r="J51" i="123"/>
  <c r="M50" i="123"/>
  <c r="L50" i="123"/>
  <c r="K50" i="123"/>
  <c r="J50" i="123"/>
  <c r="M48" i="123"/>
  <c r="L48" i="123"/>
  <c r="K48" i="123"/>
  <c r="R48" i="123" s="1"/>
  <c r="J48" i="123"/>
  <c r="M47" i="123"/>
  <c r="L47" i="123"/>
  <c r="K47" i="123"/>
  <c r="J47" i="123"/>
  <c r="M46" i="123"/>
  <c r="L46" i="123"/>
  <c r="K46" i="123"/>
  <c r="J46" i="123"/>
  <c r="M45" i="123"/>
  <c r="L45" i="123"/>
  <c r="K45" i="123"/>
  <c r="R45" i="123" s="1"/>
  <c r="J45" i="123"/>
  <c r="M44" i="123"/>
  <c r="L44" i="123"/>
  <c r="K44" i="123"/>
  <c r="R44" i="123" s="1"/>
  <c r="J44" i="123"/>
  <c r="M42" i="123"/>
  <c r="L42" i="123"/>
  <c r="K42" i="123"/>
  <c r="J42" i="123"/>
  <c r="M41" i="123"/>
  <c r="K41" i="123"/>
  <c r="J41" i="123"/>
  <c r="M40" i="123"/>
  <c r="L40" i="123"/>
  <c r="K40" i="123"/>
  <c r="J40" i="123"/>
  <c r="M39" i="123"/>
  <c r="L39" i="123"/>
  <c r="K39" i="123"/>
  <c r="J39" i="123"/>
  <c r="M38" i="123"/>
  <c r="L38" i="123"/>
  <c r="K38" i="123"/>
  <c r="J38" i="123"/>
  <c r="M36" i="123"/>
  <c r="L36" i="123"/>
  <c r="K36" i="123"/>
  <c r="J36" i="123"/>
  <c r="M35" i="123"/>
  <c r="L35" i="123"/>
  <c r="K35" i="123"/>
  <c r="R35" i="123" s="1"/>
  <c r="T35" i="123" s="1"/>
  <c r="J35" i="123"/>
  <c r="M34" i="123"/>
  <c r="L34" i="123"/>
  <c r="K34" i="123"/>
  <c r="J34" i="123"/>
  <c r="M33" i="123"/>
  <c r="L33" i="123"/>
  <c r="K33" i="123"/>
  <c r="J33" i="123"/>
  <c r="M32" i="123"/>
  <c r="L32" i="123"/>
  <c r="K32" i="123"/>
  <c r="J32" i="123"/>
  <c r="T74" i="123" l="1"/>
  <c r="T78" i="123"/>
  <c r="T82" i="123"/>
  <c r="AF39" i="125"/>
  <c r="AA36" i="125"/>
  <c r="AA31" i="125" s="1"/>
  <c r="AJ6" i="125" s="1"/>
  <c r="AJ30" i="125" s="1"/>
  <c r="X69" i="125"/>
  <c r="X63" i="125" s="1"/>
  <c r="Y63" i="125"/>
  <c r="R39" i="123"/>
  <c r="R53" i="123"/>
  <c r="T53" i="123" s="1"/>
  <c r="R76" i="123"/>
  <c r="T76" i="123" s="1"/>
  <c r="R83" i="123"/>
  <c r="T83" i="123" s="1"/>
  <c r="Y36" i="125"/>
  <c r="T44" i="123"/>
  <c r="T80" i="123"/>
  <c r="AF39" i="124"/>
  <c r="AA31" i="124"/>
  <c r="AJ6" i="124" s="1"/>
  <c r="AJ30" i="124" s="1"/>
  <c r="AF37" i="124"/>
  <c r="Y31" i="124"/>
  <c r="AH6" i="124" s="1"/>
  <c r="AH30" i="124" s="1"/>
  <c r="AF38" i="124"/>
  <c r="Z31" i="124"/>
  <c r="AI6" i="124" s="1"/>
  <c r="AI30" i="124" s="1"/>
  <c r="R51" i="123"/>
  <c r="R47" i="123"/>
  <c r="T47" i="123" s="1"/>
  <c r="R36" i="123"/>
  <c r="T36" i="123" s="1"/>
  <c r="R46" i="123"/>
  <c r="T46" i="123" s="1"/>
  <c r="R33" i="123"/>
  <c r="T33" i="123" s="1"/>
  <c r="R41" i="123"/>
  <c r="T41" i="123" s="1"/>
  <c r="R50" i="123"/>
  <c r="T50" i="123" s="1"/>
  <c r="T39" i="123"/>
  <c r="T51" i="123"/>
  <c r="T45" i="123"/>
  <c r="T48" i="123"/>
  <c r="R32" i="123"/>
  <c r="T32" i="123" s="1"/>
  <c r="R38" i="123"/>
  <c r="T38" i="123" s="1"/>
  <c r="R40" i="123"/>
  <c r="T40" i="123" s="1"/>
  <c r="R42" i="123"/>
  <c r="T42" i="123" s="1"/>
  <c r="R52" i="123"/>
  <c r="T52" i="123" s="1"/>
  <c r="R34" i="123"/>
  <c r="T34" i="123" s="1"/>
  <c r="R54" i="123"/>
  <c r="T54" i="123" s="1"/>
  <c r="T70" i="123"/>
  <c r="R64" i="123"/>
  <c r="T64" i="123" s="1"/>
  <c r="R65" i="123"/>
  <c r="T65" i="123" s="1"/>
  <c r="R66" i="123"/>
  <c r="T66" i="123" s="1"/>
  <c r="R67" i="123"/>
  <c r="T67" i="123" s="1"/>
  <c r="R68" i="123"/>
  <c r="T68" i="123" s="1"/>
  <c r="R77" i="123"/>
  <c r="T77" i="123" s="1"/>
  <c r="R79" i="123"/>
  <c r="T79" i="123" s="1"/>
  <c r="R84" i="123"/>
  <c r="T84" i="123" s="1"/>
  <c r="R71" i="123"/>
  <c r="T71" i="123" s="1"/>
  <c r="R86" i="123"/>
  <c r="T86" i="123" s="1"/>
  <c r="R73" i="123"/>
  <c r="T73" i="123" s="1"/>
  <c r="T85" i="123"/>
  <c r="Z63" i="123"/>
  <c r="L84" i="122"/>
  <c r="M86" i="122"/>
  <c r="L86" i="122"/>
  <c r="K86" i="122"/>
  <c r="J86" i="122"/>
  <c r="M85" i="122"/>
  <c r="L85" i="122"/>
  <c r="K85" i="122"/>
  <c r="J85" i="122"/>
  <c r="M84" i="122"/>
  <c r="K84" i="122"/>
  <c r="R84" i="122" s="1"/>
  <c r="T84" i="122" s="1"/>
  <c r="J84" i="122"/>
  <c r="M83" i="122"/>
  <c r="L83" i="122"/>
  <c r="K83" i="122"/>
  <c r="J83" i="122"/>
  <c r="M82" i="122"/>
  <c r="L82" i="122"/>
  <c r="K82" i="122"/>
  <c r="J82" i="122"/>
  <c r="M80" i="122"/>
  <c r="L80" i="122"/>
  <c r="K80" i="122"/>
  <c r="J80" i="122"/>
  <c r="M79" i="122"/>
  <c r="L79" i="122"/>
  <c r="K79" i="122"/>
  <c r="J79" i="122"/>
  <c r="M78" i="122"/>
  <c r="L78" i="122"/>
  <c r="K78" i="122"/>
  <c r="J78" i="122"/>
  <c r="M77" i="122"/>
  <c r="L77" i="122"/>
  <c r="K77" i="122"/>
  <c r="J77" i="122"/>
  <c r="M76" i="122"/>
  <c r="L76" i="122"/>
  <c r="K76" i="122"/>
  <c r="J76" i="122"/>
  <c r="M74" i="122"/>
  <c r="L74" i="122"/>
  <c r="K74" i="122"/>
  <c r="J74" i="122"/>
  <c r="M73" i="122"/>
  <c r="L73" i="122"/>
  <c r="K73" i="122"/>
  <c r="R73" i="122" s="1"/>
  <c r="J73" i="122"/>
  <c r="M72" i="122"/>
  <c r="L72" i="122"/>
  <c r="K72" i="122"/>
  <c r="J72" i="122"/>
  <c r="M71" i="122"/>
  <c r="L71" i="122"/>
  <c r="K71" i="122"/>
  <c r="J71" i="122"/>
  <c r="M70" i="122"/>
  <c r="L70" i="122"/>
  <c r="K70" i="122"/>
  <c r="J70" i="122"/>
  <c r="M68" i="122"/>
  <c r="L68" i="122"/>
  <c r="K68" i="122"/>
  <c r="J68" i="122"/>
  <c r="M67" i="122"/>
  <c r="L67" i="122"/>
  <c r="K67" i="122"/>
  <c r="J67" i="122"/>
  <c r="M66" i="122"/>
  <c r="L66" i="122"/>
  <c r="K66" i="122"/>
  <c r="J66" i="122"/>
  <c r="M65" i="122"/>
  <c r="L65" i="122"/>
  <c r="K65" i="122"/>
  <c r="J65" i="122"/>
  <c r="M64" i="122"/>
  <c r="L64" i="122"/>
  <c r="K64" i="122"/>
  <c r="J64" i="122"/>
  <c r="M54" i="122"/>
  <c r="L54" i="122"/>
  <c r="K54" i="122"/>
  <c r="R54" i="122" s="1"/>
  <c r="T54" i="122" s="1"/>
  <c r="J54" i="122"/>
  <c r="M53" i="122"/>
  <c r="L53" i="122"/>
  <c r="K53" i="122"/>
  <c r="J53" i="122"/>
  <c r="M52" i="122"/>
  <c r="L52" i="122"/>
  <c r="K52" i="122"/>
  <c r="J52" i="122"/>
  <c r="M51" i="122"/>
  <c r="L51" i="122"/>
  <c r="K51" i="122"/>
  <c r="J51" i="122"/>
  <c r="M50" i="122"/>
  <c r="L50" i="122"/>
  <c r="K50" i="122"/>
  <c r="R50" i="122" s="1"/>
  <c r="T50" i="122" s="1"/>
  <c r="J50" i="122"/>
  <c r="M48" i="122"/>
  <c r="L48" i="122"/>
  <c r="K48" i="122"/>
  <c r="J48" i="122"/>
  <c r="M47" i="122"/>
  <c r="L47" i="122"/>
  <c r="K47" i="122"/>
  <c r="R47" i="122" s="1"/>
  <c r="T47" i="122" s="1"/>
  <c r="J47" i="122"/>
  <c r="M46" i="122"/>
  <c r="L46" i="122"/>
  <c r="K46" i="122"/>
  <c r="J46" i="122"/>
  <c r="M45" i="122"/>
  <c r="L45" i="122"/>
  <c r="K45" i="122"/>
  <c r="J45" i="122"/>
  <c r="M44" i="122"/>
  <c r="L44" i="122"/>
  <c r="K44" i="122"/>
  <c r="J44" i="122"/>
  <c r="M42" i="122"/>
  <c r="L42" i="122"/>
  <c r="K42" i="122"/>
  <c r="R42" i="122" s="1"/>
  <c r="J42" i="122"/>
  <c r="M41" i="122"/>
  <c r="L41" i="122"/>
  <c r="K41" i="122"/>
  <c r="J41" i="122"/>
  <c r="M40" i="122"/>
  <c r="L40" i="122"/>
  <c r="K40" i="122"/>
  <c r="J40" i="122"/>
  <c r="M39" i="122"/>
  <c r="L39" i="122"/>
  <c r="K39" i="122"/>
  <c r="J39" i="122"/>
  <c r="M38" i="122"/>
  <c r="L38" i="122"/>
  <c r="K38" i="122"/>
  <c r="J38" i="122"/>
  <c r="M36" i="122"/>
  <c r="L36" i="122"/>
  <c r="K36" i="122"/>
  <c r="J36" i="122"/>
  <c r="M35" i="122"/>
  <c r="L35" i="122"/>
  <c r="K35" i="122"/>
  <c r="J35" i="122"/>
  <c r="M34" i="122"/>
  <c r="L34" i="122"/>
  <c r="K34" i="122"/>
  <c r="J34" i="122"/>
  <c r="M33" i="122"/>
  <c r="L33" i="122"/>
  <c r="K33" i="122"/>
  <c r="J33" i="122"/>
  <c r="M32" i="122"/>
  <c r="L32" i="122"/>
  <c r="K32" i="122"/>
  <c r="J32" i="122"/>
  <c r="L44" i="121"/>
  <c r="T81" i="123" l="1"/>
  <c r="X36" i="125"/>
  <c r="X31" i="125" s="1"/>
  <c r="AG6" i="125" s="1"/>
  <c r="AG30" i="125" s="1"/>
  <c r="Y31" i="125"/>
  <c r="AH6" i="125" s="1"/>
  <c r="AH30" i="125" s="1"/>
  <c r="R52" i="122"/>
  <c r="T87" i="123"/>
  <c r="R86" i="122"/>
  <c r="T75" i="123"/>
  <c r="X31" i="124"/>
  <c r="AG6" i="124" s="1"/>
  <c r="AG30" i="124" s="1"/>
  <c r="T37" i="123"/>
  <c r="T43" i="123"/>
  <c r="AF37" i="123" s="1"/>
  <c r="T49" i="123"/>
  <c r="AF38" i="123" s="1"/>
  <c r="T55" i="123"/>
  <c r="AF39" i="123" s="1"/>
  <c r="T69" i="123"/>
  <c r="AA63" i="123"/>
  <c r="X63" i="123"/>
  <c r="Y63" i="123"/>
  <c r="T73" i="122"/>
  <c r="R82" i="122"/>
  <c r="R72" i="122"/>
  <c r="T72" i="122" s="1"/>
  <c r="R71" i="122"/>
  <c r="T71" i="122" s="1"/>
  <c r="T82" i="122"/>
  <c r="R65" i="122"/>
  <c r="T65" i="122" s="1"/>
  <c r="R67" i="122"/>
  <c r="T67" i="122" s="1"/>
  <c r="R74" i="122"/>
  <c r="T74" i="122" s="1"/>
  <c r="R77" i="122"/>
  <c r="T77" i="122" s="1"/>
  <c r="R79" i="122"/>
  <c r="T79" i="122" s="1"/>
  <c r="T86" i="122"/>
  <c r="R83" i="122"/>
  <c r="T83" i="122" s="1"/>
  <c r="R64" i="122"/>
  <c r="T64" i="122" s="1"/>
  <c r="R66" i="122"/>
  <c r="T66" i="122" s="1"/>
  <c r="R68" i="122"/>
  <c r="T68" i="122" s="1"/>
  <c r="R70" i="122"/>
  <c r="T70" i="122" s="1"/>
  <c r="R76" i="122"/>
  <c r="T76" i="122" s="1"/>
  <c r="R78" i="122"/>
  <c r="T78" i="122" s="1"/>
  <c r="R80" i="122"/>
  <c r="T80" i="122" s="1"/>
  <c r="R85" i="122"/>
  <c r="T85" i="122" s="1"/>
  <c r="R45" i="122"/>
  <c r="T45" i="122" s="1"/>
  <c r="R41" i="122"/>
  <c r="T41" i="122" s="1"/>
  <c r="T42" i="122"/>
  <c r="R39" i="122"/>
  <c r="T39" i="122" s="1"/>
  <c r="R35" i="122"/>
  <c r="T35" i="122" s="1"/>
  <c r="R51" i="122"/>
  <c r="T51" i="122" s="1"/>
  <c r="R33" i="122"/>
  <c r="T33" i="122" s="1"/>
  <c r="T52" i="122"/>
  <c r="R32" i="122"/>
  <c r="T32" i="122" s="1"/>
  <c r="R34" i="122"/>
  <c r="T34" i="122" s="1"/>
  <c r="R36" i="122"/>
  <c r="T36" i="122" s="1"/>
  <c r="R38" i="122"/>
  <c r="T38" i="122" s="1"/>
  <c r="R44" i="122"/>
  <c r="T44" i="122" s="1"/>
  <c r="R46" i="122"/>
  <c r="T46" i="122" s="1"/>
  <c r="R48" i="122"/>
  <c r="T48" i="122" s="1"/>
  <c r="R53" i="122"/>
  <c r="T53" i="122" s="1"/>
  <c r="R40" i="122"/>
  <c r="T40" i="122" s="1"/>
  <c r="M84" i="121"/>
  <c r="L84" i="121"/>
  <c r="K84" i="121"/>
  <c r="J84" i="121"/>
  <c r="M83" i="121"/>
  <c r="L83" i="121"/>
  <c r="K83" i="121"/>
  <c r="R83" i="121" s="1"/>
  <c r="T83" i="121" s="1"/>
  <c r="J83" i="121"/>
  <c r="M82" i="121"/>
  <c r="K82" i="121"/>
  <c r="J82" i="121"/>
  <c r="R81" i="121"/>
  <c r="T81" i="121" s="1"/>
  <c r="M81" i="121"/>
  <c r="L81" i="121"/>
  <c r="K81" i="121"/>
  <c r="J81" i="121"/>
  <c r="M80" i="121"/>
  <c r="L80" i="121"/>
  <c r="K80" i="121"/>
  <c r="J80" i="121"/>
  <c r="M78" i="121"/>
  <c r="L78" i="121"/>
  <c r="K78" i="121"/>
  <c r="J78" i="121"/>
  <c r="M77" i="121"/>
  <c r="L77" i="121"/>
  <c r="K77" i="121"/>
  <c r="J77" i="121"/>
  <c r="M76" i="121"/>
  <c r="L76" i="121"/>
  <c r="K76" i="121"/>
  <c r="R76" i="121" s="1"/>
  <c r="T76" i="121" s="1"/>
  <c r="J76" i="121"/>
  <c r="M75" i="121"/>
  <c r="L75" i="121"/>
  <c r="K75" i="121"/>
  <c r="J75" i="121"/>
  <c r="M74" i="121"/>
  <c r="L74" i="121"/>
  <c r="K74" i="121"/>
  <c r="R74" i="121" s="1"/>
  <c r="T74" i="121" s="1"/>
  <c r="J74" i="121"/>
  <c r="M72" i="121"/>
  <c r="L72" i="121"/>
  <c r="R72" i="121" s="1"/>
  <c r="T72" i="121" s="1"/>
  <c r="K72" i="121"/>
  <c r="J72" i="121"/>
  <c r="M71" i="121"/>
  <c r="L71" i="121"/>
  <c r="K71" i="121"/>
  <c r="J71" i="121"/>
  <c r="M70" i="121"/>
  <c r="L70" i="121"/>
  <c r="K70" i="121"/>
  <c r="R70" i="121" s="1"/>
  <c r="T70" i="121" s="1"/>
  <c r="J70" i="121"/>
  <c r="M69" i="121"/>
  <c r="L69" i="121"/>
  <c r="K69" i="121"/>
  <c r="J69" i="121"/>
  <c r="M68" i="121"/>
  <c r="L68" i="121"/>
  <c r="K68" i="121"/>
  <c r="R68" i="121" s="1"/>
  <c r="T68" i="121" s="1"/>
  <c r="J68" i="121"/>
  <c r="M66" i="121"/>
  <c r="L66" i="121"/>
  <c r="K66" i="121"/>
  <c r="J66" i="121"/>
  <c r="M65" i="121"/>
  <c r="L65" i="121"/>
  <c r="K65" i="121"/>
  <c r="R65" i="121" s="1"/>
  <c r="T65" i="121" s="1"/>
  <c r="J65" i="121"/>
  <c r="M64" i="121"/>
  <c r="R64" i="121" s="1"/>
  <c r="T64" i="121" s="1"/>
  <c r="L64" i="121"/>
  <c r="K64" i="121"/>
  <c r="J64" i="121"/>
  <c r="M63" i="121"/>
  <c r="L63" i="121"/>
  <c r="K63" i="121"/>
  <c r="R63" i="121" s="1"/>
  <c r="J63" i="121"/>
  <c r="M62" i="121"/>
  <c r="L62" i="121"/>
  <c r="K62" i="121"/>
  <c r="J62" i="121"/>
  <c r="AA61" i="121"/>
  <c r="Z61" i="121"/>
  <c r="Y61" i="121"/>
  <c r="X61" i="121"/>
  <c r="M52" i="121"/>
  <c r="L52" i="121"/>
  <c r="K52" i="121"/>
  <c r="J52" i="121"/>
  <c r="M51" i="121"/>
  <c r="L51" i="121"/>
  <c r="K51" i="121"/>
  <c r="R51" i="121" s="1"/>
  <c r="J51" i="121"/>
  <c r="M50" i="121"/>
  <c r="L50" i="121"/>
  <c r="K50" i="121"/>
  <c r="J50" i="121"/>
  <c r="M49" i="121"/>
  <c r="L49" i="121"/>
  <c r="K49" i="121"/>
  <c r="R49" i="121" s="1"/>
  <c r="J49" i="121"/>
  <c r="M48" i="121"/>
  <c r="L48" i="121"/>
  <c r="K48" i="121"/>
  <c r="J48" i="121"/>
  <c r="M46" i="121"/>
  <c r="L46" i="121"/>
  <c r="K46" i="121"/>
  <c r="J46" i="121"/>
  <c r="M45" i="121"/>
  <c r="L45" i="121"/>
  <c r="K45" i="121"/>
  <c r="J45" i="121"/>
  <c r="M44" i="121"/>
  <c r="K44" i="121"/>
  <c r="J44" i="121"/>
  <c r="M43" i="121"/>
  <c r="L43" i="121"/>
  <c r="K43" i="121"/>
  <c r="J43" i="121"/>
  <c r="M42" i="121"/>
  <c r="L42" i="121"/>
  <c r="K42" i="121"/>
  <c r="R42" i="121" s="1"/>
  <c r="J42" i="121"/>
  <c r="M40" i="121"/>
  <c r="L40" i="121"/>
  <c r="K40" i="121"/>
  <c r="J40" i="121"/>
  <c r="M39" i="121"/>
  <c r="L39" i="121"/>
  <c r="K39" i="121"/>
  <c r="J39" i="121"/>
  <c r="M38" i="121"/>
  <c r="L38" i="121"/>
  <c r="K38" i="121"/>
  <c r="J38" i="121"/>
  <c r="M37" i="121"/>
  <c r="L37" i="121"/>
  <c r="K37" i="121"/>
  <c r="J37" i="121"/>
  <c r="M36" i="121"/>
  <c r="L36" i="121"/>
  <c r="K36" i="121"/>
  <c r="J36" i="121"/>
  <c r="M34" i="121"/>
  <c r="L34" i="121"/>
  <c r="K34" i="121"/>
  <c r="J34" i="121"/>
  <c r="M33" i="121"/>
  <c r="L33" i="121"/>
  <c r="K33" i="121"/>
  <c r="J33" i="121"/>
  <c r="M32" i="121"/>
  <c r="L32" i="121"/>
  <c r="K32" i="121"/>
  <c r="J32" i="121"/>
  <c r="M31" i="121"/>
  <c r="L31" i="121"/>
  <c r="K31" i="121"/>
  <c r="R31" i="121" s="1"/>
  <c r="J31" i="121"/>
  <c r="M30" i="121"/>
  <c r="L30" i="121"/>
  <c r="K30" i="121"/>
  <c r="J30" i="121"/>
  <c r="M84" i="120"/>
  <c r="L84" i="120"/>
  <c r="K84" i="120"/>
  <c r="J84" i="120"/>
  <c r="M83" i="120"/>
  <c r="L83" i="120"/>
  <c r="K83" i="120"/>
  <c r="R83" i="120" s="1"/>
  <c r="T83" i="120" s="1"/>
  <c r="J83" i="120"/>
  <c r="M82" i="120"/>
  <c r="R82" i="120" s="1"/>
  <c r="T82" i="120" s="1"/>
  <c r="K82" i="120"/>
  <c r="J82" i="120"/>
  <c r="M81" i="120"/>
  <c r="L81" i="120"/>
  <c r="K81" i="120"/>
  <c r="R81" i="120" s="1"/>
  <c r="T81" i="120" s="1"/>
  <c r="J81" i="120"/>
  <c r="M80" i="120"/>
  <c r="L80" i="120"/>
  <c r="K80" i="120"/>
  <c r="R80" i="120" s="1"/>
  <c r="T80" i="120" s="1"/>
  <c r="J80" i="120"/>
  <c r="M78" i="120"/>
  <c r="L78" i="120"/>
  <c r="K78" i="120"/>
  <c r="J78" i="120"/>
  <c r="M77" i="120"/>
  <c r="L77" i="120"/>
  <c r="K77" i="120"/>
  <c r="J77" i="120"/>
  <c r="M76" i="120"/>
  <c r="L76" i="120"/>
  <c r="K76" i="120"/>
  <c r="R76" i="120" s="1"/>
  <c r="T76" i="120" s="1"/>
  <c r="J76" i="120"/>
  <c r="M75" i="120"/>
  <c r="R75" i="120" s="1"/>
  <c r="T75" i="120" s="1"/>
  <c r="L75" i="120"/>
  <c r="K75" i="120"/>
  <c r="J75" i="120"/>
  <c r="M74" i="120"/>
  <c r="L74" i="120"/>
  <c r="K74" i="120"/>
  <c r="R74" i="120" s="1"/>
  <c r="J74" i="120"/>
  <c r="M72" i="120"/>
  <c r="L72" i="120"/>
  <c r="K72" i="120"/>
  <c r="R72" i="120" s="1"/>
  <c r="T72" i="120" s="1"/>
  <c r="J72" i="120"/>
  <c r="M71" i="120"/>
  <c r="L71" i="120"/>
  <c r="K71" i="120"/>
  <c r="R71" i="120" s="1"/>
  <c r="T71" i="120" s="1"/>
  <c r="J71" i="120"/>
  <c r="M70" i="120"/>
  <c r="L70" i="120"/>
  <c r="R70" i="120" s="1"/>
  <c r="T70" i="120" s="1"/>
  <c r="K70" i="120"/>
  <c r="J70" i="120"/>
  <c r="M69" i="120"/>
  <c r="L69" i="120"/>
  <c r="K69" i="120"/>
  <c r="R69" i="120" s="1"/>
  <c r="T69" i="120" s="1"/>
  <c r="J69" i="120"/>
  <c r="M68" i="120"/>
  <c r="L68" i="120"/>
  <c r="R68" i="120" s="1"/>
  <c r="T68" i="120" s="1"/>
  <c r="K68" i="120"/>
  <c r="J68" i="120"/>
  <c r="M66" i="120"/>
  <c r="R66" i="120" s="1"/>
  <c r="T66" i="120" s="1"/>
  <c r="L66" i="120"/>
  <c r="K66" i="120"/>
  <c r="J66" i="120"/>
  <c r="M65" i="120"/>
  <c r="L65" i="120"/>
  <c r="K65" i="120"/>
  <c r="J65" i="120"/>
  <c r="M64" i="120"/>
  <c r="R64" i="120" s="1"/>
  <c r="L64" i="120"/>
  <c r="K64" i="120"/>
  <c r="J64" i="120"/>
  <c r="M63" i="120"/>
  <c r="L63" i="120"/>
  <c r="K63" i="120"/>
  <c r="J63" i="120"/>
  <c r="M62" i="120"/>
  <c r="L62" i="120"/>
  <c r="K62" i="120"/>
  <c r="J62" i="120"/>
  <c r="AA61" i="120"/>
  <c r="Z61" i="120"/>
  <c r="Y61" i="120"/>
  <c r="X61" i="120"/>
  <c r="M52" i="120"/>
  <c r="L52" i="120"/>
  <c r="K52" i="120"/>
  <c r="J52" i="120"/>
  <c r="M51" i="120"/>
  <c r="L51" i="120"/>
  <c r="K51" i="120"/>
  <c r="R51" i="120" s="1"/>
  <c r="J51" i="120"/>
  <c r="M50" i="120"/>
  <c r="L50" i="120"/>
  <c r="K50" i="120"/>
  <c r="J50" i="120"/>
  <c r="M49" i="120"/>
  <c r="L49" i="120"/>
  <c r="K49" i="120"/>
  <c r="R49" i="120" s="1"/>
  <c r="J49" i="120"/>
  <c r="M48" i="120"/>
  <c r="L48" i="120"/>
  <c r="K48" i="120"/>
  <c r="J48" i="120"/>
  <c r="M46" i="120"/>
  <c r="L46" i="120"/>
  <c r="K46" i="120"/>
  <c r="R46" i="120" s="1"/>
  <c r="J46" i="120"/>
  <c r="M45" i="120"/>
  <c r="L45" i="120"/>
  <c r="K45" i="120"/>
  <c r="J45" i="120"/>
  <c r="M44" i="120"/>
  <c r="L44" i="120"/>
  <c r="K44" i="120"/>
  <c r="J44" i="120"/>
  <c r="M43" i="120"/>
  <c r="L43" i="120"/>
  <c r="K43" i="120"/>
  <c r="J43" i="120"/>
  <c r="M42" i="120"/>
  <c r="L42" i="120"/>
  <c r="K42" i="120"/>
  <c r="R42" i="120" s="1"/>
  <c r="J42" i="120"/>
  <c r="M40" i="120"/>
  <c r="L40" i="120"/>
  <c r="K40" i="120"/>
  <c r="J40" i="120"/>
  <c r="M39" i="120"/>
  <c r="L39" i="120"/>
  <c r="K39" i="120"/>
  <c r="J39" i="120"/>
  <c r="M38" i="120"/>
  <c r="L38" i="120"/>
  <c r="K38" i="120"/>
  <c r="R38" i="120" s="1"/>
  <c r="J38" i="120"/>
  <c r="M37" i="120"/>
  <c r="L37" i="120"/>
  <c r="K37" i="120"/>
  <c r="J37" i="120"/>
  <c r="M36" i="120"/>
  <c r="L36" i="120"/>
  <c r="K36" i="120"/>
  <c r="R36" i="120" s="1"/>
  <c r="J36" i="120"/>
  <c r="M34" i="120"/>
  <c r="L34" i="120"/>
  <c r="K34" i="120"/>
  <c r="J34" i="120"/>
  <c r="M33" i="120"/>
  <c r="L33" i="120"/>
  <c r="K33" i="120"/>
  <c r="J33" i="120"/>
  <c r="M32" i="120"/>
  <c r="L32" i="120"/>
  <c r="K32" i="120"/>
  <c r="J32" i="120"/>
  <c r="M31" i="120"/>
  <c r="L31" i="120"/>
  <c r="K31" i="120"/>
  <c r="J31" i="120"/>
  <c r="M30" i="120"/>
  <c r="L30" i="120"/>
  <c r="K30" i="120"/>
  <c r="J30" i="120"/>
  <c r="L51" i="119"/>
  <c r="L50" i="119"/>
  <c r="L49" i="119"/>
  <c r="R77" i="120" l="1"/>
  <c r="T77" i="120" s="1"/>
  <c r="R84" i="120"/>
  <c r="T84" i="120" s="1"/>
  <c r="R66" i="121"/>
  <c r="T66" i="121" s="1"/>
  <c r="T63" i="121"/>
  <c r="T64" i="120"/>
  <c r="T75" i="122"/>
  <c r="R48" i="120"/>
  <c r="T48" i="120" s="1"/>
  <c r="R78" i="120"/>
  <c r="T78" i="120" s="1"/>
  <c r="R44" i="120"/>
  <c r="T44" i="120" s="1"/>
  <c r="R65" i="120"/>
  <c r="T65" i="120" s="1"/>
  <c r="R77" i="121"/>
  <c r="T77" i="121" s="1"/>
  <c r="R84" i="121"/>
  <c r="T84" i="121" s="1"/>
  <c r="R62" i="120"/>
  <c r="T62" i="120" s="1"/>
  <c r="R71" i="121"/>
  <c r="T71" i="121" s="1"/>
  <c r="R78" i="121"/>
  <c r="T78" i="121" s="1"/>
  <c r="T74" i="120"/>
  <c r="T79" i="120" s="1"/>
  <c r="R63" i="120"/>
  <c r="T63" i="120" s="1"/>
  <c r="R75" i="121"/>
  <c r="T75" i="121" s="1"/>
  <c r="T79" i="121" s="1"/>
  <c r="R82" i="121"/>
  <c r="T82" i="121" s="1"/>
  <c r="R80" i="121"/>
  <c r="T80" i="121" s="1"/>
  <c r="T85" i="121" s="1"/>
  <c r="R62" i="121"/>
  <c r="T62" i="121" s="1"/>
  <c r="T67" i="121" s="1"/>
  <c r="R69" i="121"/>
  <c r="T69" i="121" s="1"/>
  <c r="AF36" i="123"/>
  <c r="Y34" i="123"/>
  <c r="AA34" i="123"/>
  <c r="AA31" i="123" s="1"/>
  <c r="AJ6" i="123" s="1"/>
  <c r="AJ30" i="123" s="1"/>
  <c r="Z34" i="123"/>
  <c r="Z31" i="123" s="1"/>
  <c r="AI6" i="123" s="1"/>
  <c r="AI30" i="123" s="1"/>
  <c r="T81" i="122"/>
  <c r="T69" i="122"/>
  <c r="T87" i="122"/>
  <c r="T43" i="122"/>
  <c r="T37" i="122"/>
  <c r="T49" i="122"/>
  <c r="Z32" i="122" s="1"/>
  <c r="T55" i="122"/>
  <c r="R40" i="121"/>
  <c r="R33" i="121"/>
  <c r="R36" i="121"/>
  <c r="T49" i="121"/>
  <c r="T40" i="121"/>
  <c r="R38" i="121"/>
  <c r="T38" i="121" s="1"/>
  <c r="T42" i="121"/>
  <c r="R44" i="121"/>
  <c r="T44" i="121" s="1"/>
  <c r="R46" i="121"/>
  <c r="T46" i="121" s="1"/>
  <c r="T36" i="121"/>
  <c r="T33" i="121"/>
  <c r="R48" i="121"/>
  <c r="T48" i="121" s="1"/>
  <c r="R37" i="121"/>
  <c r="T37" i="121" s="1"/>
  <c r="R43" i="121"/>
  <c r="T43" i="121" s="1"/>
  <c r="R45" i="121"/>
  <c r="T45" i="121" s="1"/>
  <c r="R50" i="121"/>
  <c r="T50" i="121" s="1"/>
  <c r="T51" i="121"/>
  <c r="T31" i="121"/>
  <c r="R30" i="121"/>
  <c r="T30" i="121" s="1"/>
  <c r="R32" i="121"/>
  <c r="T32" i="121" s="1"/>
  <c r="R34" i="121"/>
  <c r="T34" i="121" s="1"/>
  <c r="R39" i="121"/>
  <c r="T39" i="121" s="1"/>
  <c r="R52" i="121"/>
  <c r="T52" i="121" s="1"/>
  <c r="T73" i="121"/>
  <c r="T51" i="120"/>
  <c r="T38" i="120"/>
  <c r="T42" i="120"/>
  <c r="T46" i="120"/>
  <c r="T49" i="120"/>
  <c r="R40" i="120"/>
  <c r="T40" i="120" s="1"/>
  <c r="T36" i="120"/>
  <c r="R31" i="120"/>
  <c r="T31" i="120" s="1"/>
  <c r="R33" i="120"/>
  <c r="T33" i="120" s="1"/>
  <c r="R50" i="120"/>
  <c r="T50" i="120" s="1"/>
  <c r="R37" i="120"/>
  <c r="T37" i="120" s="1"/>
  <c r="R43" i="120"/>
  <c r="T43" i="120" s="1"/>
  <c r="R45" i="120"/>
  <c r="T45" i="120" s="1"/>
  <c r="R52" i="120"/>
  <c r="T52" i="120" s="1"/>
  <c r="R30" i="120"/>
  <c r="T30" i="120" s="1"/>
  <c r="R32" i="120"/>
  <c r="T32" i="120" s="1"/>
  <c r="R34" i="120"/>
  <c r="T34" i="120" s="1"/>
  <c r="R39" i="120"/>
  <c r="T39" i="120" s="1"/>
  <c r="T73" i="120"/>
  <c r="T85" i="120"/>
  <c r="M84" i="119"/>
  <c r="L84" i="119"/>
  <c r="K84" i="119"/>
  <c r="J84" i="119"/>
  <c r="M83" i="119"/>
  <c r="L83" i="119"/>
  <c r="K83" i="119"/>
  <c r="J83" i="119"/>
  <c r="M82" i="119"/>
  <c r="K82" i="119"/>
  <c r="J82" i="119"/>
  <c r="R81" i="119"/>
  <c r="T81" i="119" s="1"/>
  <c r="M81" i="119"/>
  <c r="L81" i="119"/>
  <c r="K81" i="119"/>
  <c r="J81" i="119"/>
  <c r="M80" i="119"/>
  <c r="L80" i="119"/>
  <c r="K80" i="119"/>
  <c r="J80" i="119"/>
  <c r="M78" i="119"/>
  <c r="L78" i="119"/>
  <c r="K78" i="119"/>
  <c r="R78" i="119" s="1"/>
  <c r="J78" i="119"/>
  <c r="M77" i="119"/>
  <c r="L77" i="119"/>
  <c r="K77" i="119"/>
  <c r="J77" i="119"/>
  <c r="M76" i="119"/>
  <c r="L76" i="119"/>
  <c r="K76" i="119"/>
  <c r="J76" i="119"/>
  <c r="M75" i="119"/>
  <c r="L75" i="119"/>
  <c r="K75" i="119"/>
  <c r="R75" i="119" s="1"/>
  <c r="J75" i="119"/>
  <c r="M74" i="119"/>
  <c r="L74" i="119"/>
  <c r="K74" i="119"/>
  <c r="J74" i="119"/>
  <c r="R72" i="119"/>
  <c r="T72" i="119" s="1"/>
  <c r="M72" i="119"/>
  <c r="L72" i="119"/>
  <c r="K72" i="119"/>
  <c r="J72" i="119"/>
  <c r="M71" i="119"/>
  <c r="L71" i="119"/>
  <c r="K71" i="119"/>
  <c r="J71" i="119"/>
  <c r="M70" i="119"/>
  <c r="L70" i="119"/>
  <c r="K70" i="119"/>
  <c r="R70" i="119" s="1"/>
  <c r="T70" i="119" s="1"/>
  <c r="J70" i="119"/>
  <c r="M69" i="119"/>
  <c r="L69" i="119"/>
  <c r="K69" i="119"/>
  <c r="J69" i="119"/>
  <c r="M68" i="119"/>
  <c r="R68" i="119" s="1"/>
  <c r="T68" i="119" s="1"/>
  <c r="L68" i="119"/>
  <c r="K68" i="119"/>
  <c r="J68" i="119"/>
  <c r="M66" i="119"/>
  <c r="L66" i="119"/>
  <c r="K66" i="119"/>
  <c r="J66" i="119"/>
  <c r="M65" i="119"/>
  <c r="L65" i="119"/>
  <c r="K65" i="119"/>
  <c r="J65" i="119"/>
  <c r="M64" i="119"/>
  <c r="L64" i="119"/>
  <c r="K64" i="119"/>
  <c r="J64" i="119"/>
  <c r="M63" i="119"/>
  <c r="L63" i="119"/>
  <c r="K63" i="119"/>
  <c r="J63" i="119"/>
  <c r="M62" i="119"/>
  <c r="L62" i="119"/>
  <c r="K62" i="119"/>
  <c r="R62" i="119" s="1"/>
  <c r="J62" i="119"/>
  <c r="AA61" i="119"/>
  <c r="Z61" i="119"/>
  <c r="Y61" i="119"/>
  <c r="X61" i="119"/>
  <c r="M52" i="119"/>
  <c r="L52" i="119"/>
  <c r="K52" i="119"/>
  <c r="J52" i="119"/>
  <c r="M51" i="119"/>
  <c r="K51" i="119"/>
  <c r="R51" i="119" s="1"/>
  <c r="J51" i="119"/>
  <c r="M50" i="119"/>
  <c r="K50" i="119"/>
  <c r="J50" i="119"/>
  <c r="M49" i="119"/>
  <c r="K49" i="119"/>
  <c r="J49" i="119"/>
  <c r="M48" i="119"/>
  <c r="L48" i="119"/>
  <c r="K48" i="119"/>
  <c r="J48" i="119"/>
  <c r="M46" i="119"/>
  <c r="L46" i="119"/>
  <c r="R46" i="119" s="1"/>
  <c r="K46" i="119"/>
  <c r="J46" i="119"/>
  <c r="M45" i="119"/>
  <c r="L45" i="119"/>
  <c r="K45" i="119"/>
  <c r="J45" i="119"/>
  <c r="M44" i="119"/>
  <c r="L44" i="119"/>
  <c r="K44" i="119"/>
  <c r="J44" i="119"/>
  <c r="M43" i="119"/>
  <c r="L43" i="119"/>
  <c r="K43" i="119"/>
  <c r="J43" i="119"/>
  <c r="M42" i="119"/>
  <c r="L42" i="119"/>
  <c r="K42" i="119"/>
  <c r="J42" i="119"/>
  <c r="M40" i="119"/>
  <c r="L40" i="119"/>
  <c r="K40" i="119"/>
  <c r="J40" i="119"/>
  <c r="M39" i="119"/>
  <c r="L39" i="119"/>
  <c r="K39" i="119"/>
  <c r="J39" i="119"/>
  <c r="M38" i="119"/>
  <c r="L38" i="119"/>
  <c r="K38" i="119"/>
  <c r="J38" i="119"/>
  <c r="M37" i="119"/>
  <c r="L37" i="119"/>
  <c r="K37" i="119"/>
  <c r="J37" i="119"/>
  <c r="M36" i="119"/>
  <c r="L36" i="119"/>
  <c r="K36" i="119"/>
  <c r="J36" i="119"/>
  <c r="M34" i="119"/>
  <c r="L34" i="119"/>
  <c r="K34" i="119"/>
  <c r="J34" i="119"/>
  <c r="M33" i="119"/>
  <c r="L33" i="119"/>
  <c r="K33" i="119"/>
  <c r="J33" i="119"/>
  <c r="M32" i="119"/>
  <c r="L32" i="119"/>
  <c r="K32" i="119"/>
  <c r="J32" i="119"/>
  <c r="M31" i="119"/>
  <c r="L31" i="119"/>
  <c r="K31" i="119"/>
  <c r="R31" i="119" s="1"/>
  <c r="J31" i="119"/>
  <c r="M30" i="119"/>
  <c r="L30" i="119"/>
  <c r="K30" i="119"/>
  <c r="J30" i="119"/>
  <c r="M52" i="118"/>
  <c r="L52" i="118"/>
  <c r="K52" i="118"/>
  <c r="M51" i="118"/>
  <c r="R51" i="118" s="1"/>
  <c r="T51" i="118" s="1"/>
  <c r="L51" i="118"/>
  <c r="K51" i="118"/>
  <c r="M50" i="118"/>
  <c r="K50" i="118"/>
  <c r="R50" i="118" s="1"/>
  <c r="M49" i="118"/>
  <c r="L49" i="118"/>
  <c r="K49" i="118"/>
  <c r="M48" i="118"/>
  <c r="R48" i="118" s="1"/>
  <c r="L48" i="118"/>
  <c r="K48" i="118"/>
  <c r="M46" i="118"/>
  <c r="L46" i="118"/>
  <c r="R46" i="118" s="1"/>
  <c r="T46" i="118" s="1"/>
  <c r="K46" i="118"/>
  <c r="M45" i="118"/>
  <c r="L45" i="118"/>
  <c r="K45" i="118"/>
  <c r="M44" i="118"/>
  <c r="L44" i="118"/>
  <c r="K44" i="118"/>
  <c r="R44" i="118" s="1"/>
  <c r="T44" i="118" s="1"/>
  <c r="M43" i="118"/>
  <c r="L43" i="118"/>
  <c r="K43" i="118"/>
  <c r="M42" i="118"/>
  <c r="L42" i="118"/>
  <c r="R42" i="118" s="1"/>
  <c r="K42" i="118"/>
  <c r="M40" i="118"/>
  <c r="L40" i="118"/>
  <c r="K40" i="118"/>
  <c r="M39" i="118"/>
  <c r="L39" i="118"/>
  <c r="K39" i="118"/>
  <c r="R39" i="118" s="1"/>
  <c r="T39" i="118" s="1"/>
  <c r="M38" i="118"/>
  <c r="R38" i="118" s="1"/>
  <c r="L38" i="118"/>
  <c r="K38" i="118"/>
  <c r="M37" i="118"/>
  <c r="L37" i="118"/>
  <c r="R37" i="118" s="1"/>
  <c r="T37" i="118" s="1"/>
  <c r="K37" i="118"/>
  <c r="M36" i="118"/>
  <c r="L36" i="118"/>
  <c r="K36" i="118"/>
  <c r="M34" i="118"/>
  <c r="L34" i="118"/>
  <c r="K34" i="118"/>
  <c r="M33" i="118"/>
  <c r="L33" i="118"/>
  <c r="K33" i="118"/>
  <c r="M32" i="118"/>
  <c r="L32" i="118"/>
  <c r="K32" i="118"/>
  <c r="M31" i="118"/>
  <c r="L31" i="118"/>
  <c r="K31" i="118"/>
  <c r="M30" i="118"/>
  <c r="L30" i="118"/>
  <c r="K30" i="118"/>
  <c r="M84" i="118"/>
  <c r="R84" i="118" s="1"/>
  <c r="L84" i="118"/>
  <c r="K84" i="118"/>
  <c r="J84" i="118"/>
  <c r="M83" i="118"/>
  <c r="L83" i="118"/>
  <c r="K83" i="118"/>
  <c r="J83" i="118"/>
  <c r="M82" i="118"/>
  <c r="R82" i="118" s="1"/>
  <c r="K82" i="118"/>
  <c r="J82" i="118"/>
  <c r="R81" i="118"/>
  <c r="T81" i="118" s="1"/>
  <c r="M81" i="118"/>
  <c r="L81" i="118"/>
  <c r="K81" i="118"/>
  <c r="J81" i="118"/>
  <c r="M80" i="118"/>
  <c r="L80" i="118"/>
  <c r="K80" i="118"/>
  <c r="J80" i="118"/>
  <c r="M78" i="118"/>
  <c r="L78" i="118"/>
  <c r="K78" i="118"/>
  <c r="R78" i="118" s="1"/>
  <c r="J78" i="118"/>
  <c r="M77" i="118"/>
  <c r="R77" i="118" s="1"/>
  <c r="L77" i="118"/>
  <c r="K77" i="118"/>
  <c r="J77" i="118"/>
  <c r="M76" i="118"/>
  <c r="L76" i="118"/>
  <c r="K76" i="118"/>
  <c r="J76" i="118"/>
  <c r="M75" i="118"/>
  <c r="L75" i="118"/>
  <c r="K75" i="118"/>
  <c r="J75" i="118"/>
  <c r="M74" i="118"/>
  <c r="L74" i="118"/>
  <c r="K74" i="118"/>
  <c r="J74" i="118"/>
  <c r="R72" i="118"/>
  <c r="T72" i="118" s="1"/>
  <c r="M72" i="118"/>
  <c r="L72" i="118"/>
  <c r="K72" i="118"/>
  <c r="J72" i="118"/>
  <c r="M71" i="118"/>
  <c r="L71" i="118"/>
  <c r="K71" i="118"/>
  <c r="R71" i="118" s="1"/>
  <c r="T71" i="118" s="1"/>
  <c r="J71" i="118"/>
  <c r="M70" i="118"/>
  <c r="L70" i="118"/>
  <c r="K70" i="118"/>
  <c r="R70" i="118" s="1"/>
  <c r="T70" i="118" s="1"/>
  <c r="J70" i="118"/>
  <c r="M69" i="118"/>
  <c r="L69" i="118"/>
  <c r="K69" i="118"/>
  <c r="J69" i="118"/>
  <c r="M68" i="118"/>
  <c r="R68" i="118" s="1"/>
  <c r="T68" i="118" s="1"/>
  <c r="L68" i="118"/>
  <c r="K68" i="118"/>
  <c r="J68" i="118"/>
  <c r="M66" i="118"/>
  <c r="L66" i="118"/>
  <c r="K66" i="118"/>
  <c r="J66" i="118"/>
  <c r="M65" i="118"/>
  <c r="L65" i="118"/>
  <c r="K65" i="118"/>
  <c r="J65" i="118"/>
  <c r="M64" i="118"/>
  <c r="R64" i="118" s="1"/>
  <c r="T64" i="118" s="1"/>
  <c r="L64" i="118"/>
  <c r="K64" i="118"/>
  <c r="J64" i="118"/>
  <c r="M63" i="118"/>
  <c r="L63" i="118"/>
  <c r="K63" i="118"/>
  <c r="J63" i="118"/>
  <c r="M62" i="118"/>
  <c r="L62" i="118"/>
  <c r="K62" i="118"/>
  <c r="J62" i="118"/>
  <c r="AA61" i="118"/>
  <c r="Z61" i="118"/>
  <c r="Y61" i="118"/>
  <c r="X61" i="118"/>
  <c r="R52" i="118"/>
  <c r="J52" i="118"/>
  <c r="J51" i="118"/>
  <c r="J50" i="118"/>
  <c r="J49" i="118"/>
  <c r="J48" i="118"/>
  <c r="J46" i="118"/>
  <c r="J45" i="118"/>
  <c r="J44" i="118"/>
  <c r="J43" i="118"/>
  <c r="J42" i="118"/>
  <c r="J40" i="118"/>
  <c r="J39" i="118"/>
  <c r="J38" i="118"/>
  <c r="J37" i="118"/>
  <c r="J36" i="118"/>
  <c r="J34" i="118"/>
  <c r="J33" i="118"/>
  <c r="J32" i="118"/>
  <c r="J31" i="118"/>
  <c r="J30" i="118"/>
  <c r="AA29" i="117"/>
  <c r="Z29" i="117"/>
  <c r="M52" i="117"/>
  <c r="L52" i="117"/>
  <c r="K52" i="117"/>
  <c r="M51" i="117"/>
  <c r="L51" i="117"/>
  <c r="K51" i="117"/>
  <c r="M50" i="117"/>
  <c r="K50" i="117"/>
  <c r="M49" i="117"/>
  <c r="L49" i="117"/>
  <c r="R49" i="117" s="1"/>
  <c r="K49" i="117"/>
  <c r="M48" i="117"/>
  <c r="L48" i="117"/>
  <c r="K48" i="117"/>
  <c r="M46" i="117"/>
  <c r="L46" i="117"/>
  <c r="K46" i="117"/>
  <c r="R46" i="117" s="1"/>
  <c r="T46" i="117" s="1"/>
  <c r="M45" i="117"/>
  <c r="L45" i="117"/>
  <c r="K45" i="117"/>
  <c r="M44" i="117"/>
  <c r="L44" i="117"/>
  <c r="R44" i="117" s="1"/>
  <c r="T44" i="117" s="1"/>
  <c r="K44" i="117"/>
  <c r="M43" i="117"/>
  <c r="L43" i="117"/>
  <c r="K43" i="117"/>
  <c r="M42" i="117"/>
  <c r="L42" i="117"/>
  <c r="K42" i="117"/>
  <c r="R42" i="117" s="1"/>
  <c r="M40" i="117"/>
  <c r="K40" i="117"/>
  <c r="M39" i="117"/>
  <c r="L39" i="117"/>
  <c r="K39" i="117"/>
  <c r="R39" i="117" s="1"/>
  <c r="T39" i="117" s="1"/>
  <c r="M38" i="117"/>
  <c r="L38" i="117"/>
  <c r="K38" i="117"/>
  <c r="R38" i="117" s="1"/>
  <c r="T38" i="117" s="1"/>
  <c r="M37" i="117"/>
  <c r="L37" i="117"/>
  <c r="K37" i="117"/>
  <c r="R37" i="117" s="1"/>
  <c r="T37" i="117" s="1"/>
  <c r="M36" i="117"/>
  <c r="R36" i="117" s="1"/>
  <c r="L36" i="117"/>
  <c r="K36" i="117"/>
  <c r="M34" i="117"/>
  <c r="L34" i="117"/>
  <c r="K34" i="117"/>
  <c r="R34" i="117" s="1"/>
  <c r="M33" i="117"/>
  <c r="L33" i="117"/>
  <c r="K33" i="117"/>
  <c r="M32" i="117"/>
  <c r="L32" i="117"/>
  <c r="K32" i="117"/>
  <c r="M31" i="117"/>
  <c r="L31" i="117"/>
  <c r="K31" i="117"/>
  <c r="M30" i="117"/>
  <c r="L30" i="117"/>
  <c r="K30" i="117"/>
  <c r="R30" i="117" s="1"/>
  <c r="M84" i="117"/>
  <c r="L84" i="117"/>
  <c r="K84" i="117"/>
  <c r="J84" i="117"/>
  <c r="M83" i="117"/>
  <c r="L83" i="117"/>
  <c r="K83" i="117"/>
  <c r="R83" i="117" s="1"/>
  <c r="T83" i="117" s="1"/>
  <c r="J83" i="117"/>
  <c r="M82" i="117"/>
  <c r="R82" i="117" s="1"/>
  <c r="K82" i="117"/>
  <c r="J82" i="117"/>
  <c r="R81" i="117"/>
  <c r="T81" i="117" s="1"/>
  <c r="M81" i="117"/>
  <c r="L81" i="117"/>
  <c r="K81" i="117"/>
  <c r="J81" i="117"/>
  <c r="M80" i="117"/>
  <c r="L80" i="117"/>
  <c r="K80" i="117"/>
  <c r="R80" i="117" s="1"/>
  <c r="T80" i="117" s="1"/>
  <c r="J80" i="117"/>
  <c r="M78" i="117"/>
  <c r="L78" i="117"/>
  <c r="K78" i="117"/>
  <c r="R78" i="117" s="1"/>
  <c r="J78" i="117"/>
  <c r="M77" i="117"/>
  <c r="L77" i="117"/>
  <c r="K77" i="117"/>
  <c r="J77" i="117"/>
  <c r="M76" i="117"/>
  <c r="L76" i="117"/>
  <c r="K76" i="117"/>
  <c r="R76" i="117" s="1"/>
  <c r="T76" i="117" s="1"/>
  <c r="J76" i="117"/>
  <c r="M75" i="117"/>
  <c r="L75" i="117"/>
  <c r="K75" i="117"/>
  <c r="J75" i="117"/>
  <c r="M74" i="117"/>
  <c r="L74" i="117"/>
  <c r="K74" i="117"/>
  <c r="J74" i="117"/>
  <c r="M72" i="117"/>
  <c r="L72" i="117"/>
  <c r="R72" i="117" s="1"/>
  <c r="T72" i="117" s="1"/>
  <c r="K72" i="117"/>
  <c r="J72" i="117"/>
  <c r="M71" i="117"/>
  <c r="L71" i="117"/>
  <c r="K71" i="117"/>
  <c r="R71" i="117" s="1"/>
  <c r="T71" i="117" s="1"/>
  <c r="J71" i="117"/>
  <c r="R70" i="117"/>
  <c r="M70" i="117"/>
  <c r="L70" i="117"/>
  <c r="K70" i="117"/>
  <c r="J70" i="117"/>
  <c r="M69" i="117"/>
  <c r="L69" i="117"/>
  <c r="K69" i="117"/>
  <c r="J69" i="117"/>
  <c r="M68" i="117"/>
  <c r="L68" i="117"/>
  <c r="K68" i="117"/>
  <c r="R68" i="117" s="1"/>
  <c r="T68" i="117" s="1"/>
  <c r="J68" i="117"/>
  <c r="M66" i="117"/>
  <c r="L66" i="117"/>
  <c r="K66" i="117"/>
  <c r="J66" i="117"/>
  <c r="M65" i="117"/>
  <c r="L65" i="117"/>
  <c r="K65" i="117"/>
  <c r="J65" i="117"/>
  <c r="M64" i="117"/>
  <c r="R64" i="117" s="1"/>
  <c r="T64" i="117" s="1"/>
  <c r="L64" i="117"/>
  <c r="K64" i="117"/>
  <c r="J64" i="117"/>
  <c r="M63" i="117"/>
  <c r="L63" i="117"/>
  <c r="K63" i="117"/>
  <c r="R63" i="117" s="1"/>
  <c r="J63" i="117"/>
  <c r="M62" i="117"/>
  <c r="R62" i="117" s="1"/>
  <c r="L62" i="117"/>
  <c r="K62" i="117"/>
  <c r="J62" i="117"/>
  <c r="AA61" i="117"/>
  <c r="Z61" i="117"/>
  <c r="Y61" i="117"/>
  <c r="X61" i="117"/>
  <c r="J52" i="117"/>
  <c r="J51" i="117"/>
  <c r="R50" i="117"/>
  <c r="J50" i="117"/>
  <c r="J49" i="117"/>
  <c r="J48" i="117"/>
  <c r="J46" i="117"/>
  <c r="J45" i="117"/>
  <c r="J44" i="117"/>
  <c r="J43" i="117"/>
  <c r="J42" i="117"/>
  <c r="J40" i="117"/>
  <c r="J39" i="117"/>
  <c r="J38" i="117"/>
  <c r="J37" i="117"/>
  <c r="J36" i="117"/>
  <c r="J34" i="117"/>
  <c r="J33" i="117"/>
  <c r="R32" i="117"/>
  <c r="J32" i="117"/>
  <c r="J31" i="117"/>
  <c r="J30" i="117"/>
  <c r="Y29" i="117"/>
  <c r="X29" i="117"/>
  <c r="AA61" i="116"/>
  <c r="Y61" i="116"/>
  <c r="M84" i="116"/>
  <c r="L84" i="116"/>
  <c r="K84" i="116"/>
  <c r="R84" i="116" s="1"/>
  <c r="T84" i="116" s="1"/>
  <c r="M83" i="116"/>
  <c r="L83" i="116"/>
  <c r="K83" i="116"/>
  <c r="M82" i="116"/>
  <c r="K82" i="116"/>
  <c r="M81" i="116"/>
  <c r="L81" i="116"/>
  <c r="K81" i="116"/>
  <c r="R81" i="116" s="1"/>
  <c r="T81" i="116" s="1"/>
  <c r="M80" i="116"/>
  <c r="L80" i="116"/>
  <c r="R80" i="116" s="1"/>
  <c r="K80" i="116"/>
  <c r="M78" i="116"/>
  <c r="L78" i="116"/>
  <c r="K78" i="116"/>
  <c r="M77" i="116"/>
  <c r="L77" i="116"/>
  <c r="K77" i="116"/>
  <c r="R77" i="116" s="1"/>
  <c r="T77" i="116" s="1"/>
  <c r="M76" i="116"/>
  <c r="L76" i="116"/>
  <c r="K76" i="116"/>
  <c r="R76" i="116" s="1"/>
  <c r="T76" i="116" s="1"/>
  <c r="M75" i="116"/>
  <c r="L75" i="116"/>
  <c r="K75" i="116"/>
  <c r="R75" i="116" s="1"/>
  <c r="T75" i="116" s="1"/>
  <c r="M74" i="116"/>
  <c r="L74" i="116"/>
  <c r="K74" i="116"/>
  <c r="M72" i="116"/>
  <c r="L72" i="116"/>
  <c r="K72" i="116"/>
  <c r="R72" i="116" s="1"/>
  <c r="M71" i="116"/>
  <c r="R71" i="116" s="1"/>
  <c r="T71" i="116" s="1"/>
  <c r="L71" i="116"/>
  <c r="K71" i="116"/>
  <c r="M70" i="116"/>
  <c r="L70" i="116"/>
  <c r="K70" i="116"/>
  <c r="M69" i="116"/>
  <c r="L69" i="116"/>
  <c r="K69" i="116"/>
  <c r="M68" i="116"/>
  <c r="L68" i="116"/>
  <c r="K68" i="116"/>
  <c r="M66" i="116"/>
  <c r="R66" i="116" s="1"/>
  <c r="L66" i="116"/>
  <c r="K66" i="116"/>
  <c r="M65" i="116"/>
  <c r="L65" i="116"/>
  <c r="K65" i="116"/>
  <c r="M64" i="116"/>
  <c r="L64" i="116"/>
  <c r="K64" i="116"/>
  <c r="M63" i="116"/>
  <c r="L63" i="116"/>
  <c r="K63" i="116"/>
  <c r="R63" i="116" s="1"/>
  <c r="T63" i="116" s="1"/>
  <c r="M62" i="116"/>
  <c r="R62" i="116" s="1"/>
  <c r="L62" i="116"/>
  <c r="K62" i="116"/>
  <c r="J84" i="116"/>
  <c r="J83" i="116"/>
  <c r="J82" i="116"/>
  <c r="J81" i="116"/>
  <c r="J80" i="116"/>
  <c r="J78" i="116"/>
  <c r="J77" i="116"/>
  <c r="J76" i="116"/>
  <c r="J75" i="116"/>
  <c r="J74" i="116"/>
  <c r="J72" i="116"/>
  <c r="J71" i="116"/>
  <c r="J70" i="116"/>
  <c r="J69" i="116"/>
  <c r="J68" i="116"/>
  <c r="J66" i="116"/>
  <c r="J65" i="116"/>
  <c r="J64" i="116"/>
  <c r="J63" i="116"/>
  <c r="J62" i="116"/>
  <c r="Z61" i="116"/>
  <c r="L52" i="116"/>
  <c r="K52" i="116"/>
  <c r="L51" i="116"/>
  <c r="K51" i="116"/>
  <c r="L50" i="116"/>
  <c r="R50" i="116" s="1"/>
  <c r="T50" i="116" s="1"/>
  <c r="K50" i="116"/>
  <c r="L49" i="116"/>
  <c r="K49" i="116"/>
  <c r="L48" i="116"/>
  <c r="K48" i="116"/>
  <c r="L46" i="116"/>
  <c r="K46" i="116"/>
  <c r="R46" i="116" s="1"/>
  <c r="T46" i="116" s="1"/>
  <c r="L45" i="116"/>
  <c r="K45" i="116"/>
  <c r="L44" i="116"/>
  <c r="K44" i="116"/>
  <c r="L43" i="116"/>
  <c r="K43" i="116"/>
  <c r="L42" i="116"/>
  <c r="K42" i="116"/>
  <c r="R42" i="116" s="1"/>
  <c r="L40" i="116"/>
  <c r="K40" i="116"/>
  <c r="L39" i="116"/>
  <c r="K39" i="116"/>
  <c r="L38" i="116"/>
  <c r="K38" i="116"/>
  <c r="L37" i="116"/>
  <c r="K37" i="116"/>
  <c r="R37" i="116" s="1"/>
  <c r="T37" i="116" s="1"/>
  <c r="L36" i="116"/>
  <c r="K36" i="116"/>
  <c r="R36" i="116" s="1"/>
  <c r="L34" i="116"/>
  <c r="K34" i="116"/>
  <c r="R34" i="116" s="1"/>
  <c r="M33" i="116"/>
  <c r="L33" i="116"/>
  <c r="K33" i="116"/>
  <c r="M32" i="116"/>
  <c r="L32" i="116"/>
  <c r="K32" i="116"/>
  <c r="M31" i="116"/>
  <c r="L31" i="116"/>
  <c r="K31" i="116"/>
  <c r="M30" i="116"/>
  <c r="L30" i="116"/>
  <c r="K30" i="116"/>
  <c r="R70" i="116"/>
  <c r="T70" i="116" s="1"/>
  <c r="R68" i="116"/>
  <c r="J52" i="116"/>
  <c r="J51" i="116"/>
  <c r="J50" i="116"/>
  <c r="R49" i="116"/>
  <c r="J49" i="116"/>
  <c r="J48" i="116"/>
  <c r="J46" i="116"/>
  <c r="J45" i="116"/>
  <c r="J44" i="116"/>
  <c r="J43" i="116"/>
  <c r="J42" i="116"/>
  <c r="J40" i="116"/>
  <c r="R39" i="116"/>
  <c r="T39" i="116" s="1"/>
  <c r="J39" i="116"/>
  <c r="R38" i="116"/>
  <c r="J38" i="116"/>
  <c r="J37" i="116"/>
  <c r="J36" i="116"/>
  <c r="J34" i="116"/>
  <c r="J33" i="116"/>
  <c r="J32" i="116"/>
  <c r="J31" i="116"/>
  <c r="J30" i="116"/>
  <c r="L52" i="115"/>
  <c r="K52" i="115"/>
  <c r="L51" i="115"/>
  <c r="K51" i="115"/>
  <c r="L50" i="115"/>
  <c r="K50" i="115"/>
  <c r="R50" i="115" s="1"/>
  <c r="T50" i="115" s="1"/>
  <c r="L49" i="115"/>
  <c r="K49" i="115"/>
  <c r="L48" i="115"/>
  <c r="K48" i="115"/>
  <c r="L46" i="115"/>
  <c r="K46" i="115"/>
  <c r="L45" i="115"/>
  <c r="K45" i="115"/>
  <c r="L44" i="115"/>
  <c r="K44" i="115"/>
  <c r="R44" i="115" s="1"/>
  <c r="T44" i="115" s="1"/>
  <c r="L43" i="115"/>
  <c r="K43" i="115"/>
  <c r="L42" i="115"/>
  <c r="K42" i="115"/>
  <c r="R42" i="115" s="1"/>
  <c r="L40" i="115"/>
  <c r="K40" i="115"/>
  <c r="R40" i="115" s="1"/>
  <c r="T40" i="115" s="1"/>
  <c r="L39" i="115"/>
  <c r="K39" i="115"/>
  <c r="L38" i="115"/>
  <c r="K38" i="115"/>
  <c r="L37" i="115"/>
  <c r="K37" i="115"/>
  <c r="L36" i="115"/>
  <c r="K36" i="115"/>
  <c r="L34" i="115"/>
  <c r="K34" i="115"/>
  <c r="R34" i="115" s="1"/>
  <c r="T34" i="115" s="1"/>
  <c r="M33" i="115"/>
  <c r="L33" i="115"/>
  <c r="K33" i="115"/>
  <c r="M32" i="115"/>
  <c r="L32" i="115"/>
  <c r="K32" i="115"/>
  <c r="M31" i="115"/>
  <c r="L31" i="115"/>
  <c r="R31" i="115" s="1"/>
  <c r="T31" i="115" s="1"/>
  <c r="K31" i="115"/>
  <c r="M30" i="115"/>
  <c r="L30" i="115"/>
  <c r="K30" i="115"/>
  <c r="J52" i="115"/>
  <c r="J51" i="115"/>
  <c r="J50" i="115"/>
  <c r="J49" i="115"/>
  <c r="J48" i="115"/>
  <c r="J46" i="115"/>
  <c r="J45" i="115"/>
  <c r="J44" i="115"/>
  <c r="J43" i="115"/>
  <c r="J42" i="115"/>
  <c r="J40" i="115"/>
  <c r="J39" i="115"/>
  <c r="J38" i="115"/>
  <c r="J37" i="115"/>
  <c r="J36" i="115"/>
  <c r="J34" i="115"/>
  <c r="J33" i="115"/>
  <c r="J32" i="115"/>
  <c r="J31" i="115"/>
  <c r="J30" i="115"/>
  <c r="M84" i="115"/>
  <c r="L84" i="115"/>
  <c r="K84" i="115"/>
  <c r="J84" i="115"/>
  <c r="M83" i="115"/>
  <c r="L83" i="115"/>
  <c r="K83" i="115"/>
  <c r="R83" i="115" s="1"/>
  <c r="T83" i="115" s="1"/>
  <c r="J83" i="115"/>
  <c r="M82" i="115"/>
  <c r="L82" i="115"/>
  <c r="K82" i="115"/>
  <c r="R82" i="115" s="1"/>
  <c r="J82" i="115"/>
  <c r="M81" i="115"/>
  <c r="L81" i="115"/>
  <c r="K81" i="115"/>
  <c r="J81" i="115"/>
  <c r="M80" i="115"/>
  <c r="L80" i="115"/>
  <c r="K80" i="115"/>
  <c r="R80" i="115" s="1"/>
  <c r="T80" i="115" s="1"/>
  <c r="J80" i="115"/>
  <c r="M78" i="115"/>
  <c r="L78" i="115"/>
  <c r="K78" i="115"/>
  <c r="J78" i="115"/>
  <c r="M77" i="115"/>
  <c r="L77" i="115"/>
  <c r="K77" i="115"/>
  <c r="R77" i="115" s="1"/>
  <c r="T77" i="115" s="1"/>
  <c r="J77" i="115"/>
  <c r="M76" i="115"/>
  <c r="L76" i="115"/>
  <c r="R76" i="115" s="1"/>
  <c r="T76" i="115" s="1"/>
  <c r="K76" i="115"/>
  <c r="J76" i="115"/>
  <c r="M75" i="115"/>
  <c r="L75" i="115"/>
  <c r="K75" i="115"/>
  <c r="R75" i="115" s="1"/>
  <c r="T75" i="115" s="1"/>
  <c r="J75" i="115"/>
  <c r="M74" i="115"/>
  <c r="L74" i="115"/>
  <c r="R74" i="115" s="1"/>
  <c r="K74" i="115"/>
  <c r="J74" i="115"/>
  <c r="M72" i="115"/>
  <c r="L72" i="115"/>
  <c r="K72" i="115"/>
  <c r="J72" i="115"/>
  <c r="M71" i="115"/>
  <c r="K71" i="115"/>
  <c r="R71" i="115" s="1"/>
  <c r="T71" i="115" s="1"/>
  <c r="J71" i="115"/>
  <c r="M70" i="115"/>
  <c r="L70" i="115"/>
  <c r="R70" i="115" s="1"/>
  <c r="T70" i="115" s="1"/>
  <c r="K70" i="115"/>
  <c r="J70" i="115"/>
  <c r="M69" i="115"/>
  <c r="L69" i="115"/>
  <c r="K69" i="115"/>
  <c r="J69" i="115"/>
  <c r="M68" i="115"/>
  <c r="L68" i="115"/>
  <c r="K68" i="115"/>
  <c r="R68" i="115" s="1"/>
  <c r="T68" i="115" s="1"/>
  <c r="J68" i="115"/>
  <c r="M66" i="115"/>
  <c r="L66" i="115"/>
  <c r="K66" i="115"/>
  <c r="R66" i="115" s="1"/>
  <c r="J66" i="115"/>
  <c r="M65" i="115"/>
  <c r="L65" i="115"/>
  <c r="K65" i="115"/>
  <c r="J65" i="115"/>
  <c r="M64" i="115"/>
  <c r="L64" i="115"/>
  <c r="K64" i="115"/>
  <c r="J64" i="115"/>
  <c r="M63" i="115"/>
  <c r="L63" i="115"/>
  <c r="K63" i="115"/>
  <c r="R63" i="115" s="1"/>
  <c r="J63" i="115"/>
  <c r="M62" i="115"/>
  <c r="L62" i="115"/>
  <c r="K62" i="115"/>
  <c r="J62" i="115"/>
  <c r="R52" i="115"/>
  <c r="T52" i="115" s="1"/>
  <c r="R45" i="115"/>
  <c r="T45" i="115" s="1"/>
  <c r="R38" i="115"/>
  <c r="T38" i="115" s="1"/>
  <c r="R37" i="115"/>
  <c r="R36" i="115"/>
  <c r="L52" i="112"/>
  <c r="K52" i="112"/>
  <c r="L51" i="112"/>
  <c r="K51" i="112"/>
  <c r="L50" i="112"/>
  <c r="K50" i="112"/>
  <c r="L49" i="112"/>
  <c r="K49" i="112"/>
  <c r="L48" i="112"/>
  <c r="K48" i="112"/>
  <c r="L46" i="112"/>
  <c r="K46" i="112"/>
  <c r="L45" i="112"/>
  <c r="K45" i="112"/>
  <c r="L44" i="112"/>
  <c r="K44" i="112"/>
  <c r="L43" i="112"/>
  <c r="K43" i="112"/>
  <c r="L42" i="112"/>
  <c r="K42" i="112"/>
  <c r="L40" i="112"/>
  <c r="K40" i="112"/>
  <c r="L39" i="112"/>
  <c r="K39" i="112"/>
  <c r="L38" i="112"/>
  <c r="K38" i="112"/>
  <c r="L37" i="112"/>
  <c r="K37" i="112"/>
  <c r="L36" i="112"/>
  <c r="K36" i="112"/>
  <c r="L34" i="112"/>
  <c r="K34" i="112"/>
  <c r="M33" i="112"/>
  <c r="L33" i="112"/>
  <c r="K33" i="112"/>
  <c r="M32" i="112"/>
  <c r="L32" i="112"/>
  <c r="K32" i="112"/>
  <c r="M31" i="112"/>
  <c r="L31" i="112"/>
  <c r="K31" i="112"/>
  <c r="M30" i="112"/>
  <c r="L30" i="112"/>
  <c r="K30" i="112"/>
  <c r="M52" i="111"/>
  <c r="L52" i="111"/>
  <c r="K52" i="111"/>
  <c r="M51" i="111"/>
  <c r="L51" i="111"/>
  <c r="K51" i="111"/>
  <c r="M50" i="111"/>
  <c r="L50" i="111"/>
  <c r="K50" i="111"/>
  <c r="M49" i="111"/>
  <c r="L49" i="111"/>
  <c r="K49" i="111"/>
  <c r="M48" i="111"/>
  <c r="L48" i="111"/>
  <c r="K48" i="111"/>
  <c r="M46" i="111"/>
  <c r="L46" i="111"/>
  <c r="K46" i="111"/>
  <c r="M45" i="111"/>
  <c r="K45" i="111"/>
  <c r="M44" i="111"/>
  <c r="L44" i="111"/>
  <c r="K44" i="111"/>
  <c r="M43" i="111"/>
  <c r="L43" i="111"/>
  <c r="K43" i="111"/>
  <c r="M42" i="111"/>
  <c r="L42" i="111"/>
  <c r="K42" i="111"/>
  <c r="M40" i="111"/>
  <c r="L40" i="111"/>
  <c r="K40" i="111"/>
  <c r="M39" i="111"/>
  <c r="L39" i="111"/>
  <c r="K39" i="111"/>
  <c r="M38" i="111"/>
  <c r="L38" i="111"/>
  <c r="K38" i="111"/>
  <c r="M37" i="111"/>
  <c r="L37" i="111"/>
  <c r="K37" i="111"/>
  <c r="M36" i="111"/>
  <c r="L36" i="111"/>
  <c r="K36" i="111"/>
  <c r="M34" i="111"/>
  <c r="L34" i="111"/>
  <c r="K34" i="111"/>
  <c r="M33" i="111"/>
  <c r="L33" i="111"/>
  <c r="K33" i="111"/>
  <c r="M32" i="111"/>
  <c r="L32" i="111"/>
  <c r="K32" i="111"/>
  <c r="M31" i="111"/>
  <c r="L31" i="111"/>
  <c r="K31" i="111"/>
  <c r="M30" i="111"/>
  <c r="L30" i="111"/>
  <c r="K30" i="111"/>
  <c r="AA31" i="122" l="1"/>
  <c r="AJ6" i="122" s="1"/>
  <c r="AA32" i="122"/>
  <c r="T63" i="117"/>
  <c r="R71" i="119"/>
  <c r="T71" i="119" s="1"/>
  <c r="T75" i="119"/>
  <c r="T78" i="119"/>
  <c r="R65" i="118"/>
  <c r="T65" i="118" s="1"/>
  <c r="T62" i="119"/>
  <c r="R65" i="119"/>
  <c r="T65" i="119" s="1"/>
  <c r="T74" i="115"/>
  <c r="T42" i="115"/>
  <c r="T80" i="116"/>
  <c r="R66" i="117"/>
  <c r="T66" i="117" s="1"/>
  <c r="R69" i="118"/>
  <c r="T69" i="118" s="1"/>
  <c r="R75" i="118"/>
  <c r="T75" i="118" s="1"/>
  <c r="T82" i="118"/>
  <c r="R36" i="118"/>
  <c r="T36" i="118" s="1"/>
  <c r="T50" i="118"/>
  <c r="R82" i="119"/>
  <c r="T82" i="119" s="1"/>
  <c r="T38" i="116"/>
  <c r="T50" i="117"/>
  <c r="R81" i="115"/>
  <c r="T81" i="115" s="1"/>
  <c r="T85" i="115" s="1"/>
  <c r="R84" i="115"/>
  <c r="T84" i="115" s="1"/>
  <c r="R44" i="116"/>
  <c r="T44" i="116" s="1"/>
  <c r="R74" i="117"/>
  <c r="T74" i="117" s="1"/>
  <c r="R62" i="118"/>
  <c r="T62" i="118" s="1"/>
  <c r="R69" i="119"/>
  <c r="T69" i="119" s="1"/>
  <c r="Y32" i="122"/>
  <c r="T78" i="118"/>
  <c r="T70" i="117"/>
  <c r="R76" i="118"/>
  <c r="T76" i="118" s="1"/>
  <c r="R80" i="118"/>
  <c r="T80" i="118" s="1"/>
  <c r="R83" i="118"/>
  <c r="T83" i="118" s="1"/>
  <c r="T85" i="118" s="1"/>
  <c r="R76" i="119"/>
  <c r="T76" i="119" s="1"/>
  <c r="R83" i="119"/>
  <c r="T83" i="119" s="1"/>
  <c r="Z65" i="122"/>
  <c r="Z63" i="122" s="1"/>
  <c r="T36" i="115"/>
  <c r="R64" i="115"/>
  <c r="T64" i="115" s="1"/>
  <c r="T68" i="116"/>
  <c r="R77" i="117"/>
  <c r="T77" i="117" s="1"/>
  <c r="R84" i="117"/>
  <c r="T84" i="117" s="1"/>
  <c r="R63" i="118"/>
  <c r="T63" i="118" s="1"/>
  <c r="R63" i="119"/>
  <c r="T63" i="119" s="1"/>
  <c r="R66" i="119"/>
  <c r="T66" i="119" s="1"/>
  <c r="R80" i="119"/>
  <c r="T80" i="119" s="1"/>
  <c r="T85" i="119" s="1"/>
  <c r="T63" i="115"/>
  <c r="T82" i="115"/>
  <c r="T72" i="116"/>
  <c r="T78" i="117"/>
  <c r="T52" i="118"/>
  <c r="R66" i="118"/>
  <c r="T66" i="118" s="1"/>
  <c r="R34" i="119"/>
  <c r="T34" i="119" s="1"/>
  <c r="T37" i="115"/>
  <c r="R62" i="115"/>
  <c r="T62" i="115" s="1"/>
  <c r="R65" i="115"/>
  <c r="T65" i="115" s="1"/>
  <c r="R78" i="115"/>
  <c r="T78" i="115" s="1"/>
  <c r="R65" i="117"/>
  <c r="T65" i="117" s="1"/>
  <c r="R74" i="118"/>
  <c r="T74" i="118" s="1"/>
  <c r="T79" i="118" s="1"/>
  <c r="R74" i="119"/>
  <c r="T74" i="119" s="1"/>
  <c r="R77" i="119"/>
  <c r="T77" i="119" s="1"/>
  <c r="R84" i="119"/>
  <c r="T84" i="119" s="1"/>
  <c r="T66" i="115"/>
  <c r="R72" i="115"/>
  <c r="T72" i="115" s="1"/>
  <c r="R69" i="117"/>
  <c r="T69" i="117" s="1"/>
  <c r="T73" i="117" s="1"/>
  <c r="R75" i="117"/>
  <c r="T75" i="117" s="1"/>
  <c r="T82" i="117"/>
  <c r="T85" i="117" s="1"/>
  <c r="R64" i="119"/>
  <c r="T64" i="119" s="1"/>
  <c r="T67" i="120"/>
  <c r="R69" i="115"/>
  <c r="T69" i="115" s="1"/>
  <c r="R46" i="115"/>
  <c r="T46" i="115" s="1"/>
  <c r="T62" i="117"/>
  <c r="T67" i="117" s="1"/>
  <c r="T77" i="118"/>
  <c r="T84" i="118"/>
  <c r="T38" i="118"/>
  <c r="T48" i="118"/>
  <c r="Y31" i="123"/>
  <c r="AH6" i="123" s="1"/>
  <c r="AH30" i="123" s="1"/>
  <c r="X34" i="123"/>
  <c r="X31" i="123" s="1"/>
  <c r="AG6" i="123" s="1"/>
  <c r="AG30" i="123" s="1"/>
  <c r="X65" i="122"/>
  <c r="X63" i="122" s="1"/>
  <c r="Y65" i="122"/>
  <c r="Y63" i="122" s="1"/>
  <c r="Z31" i="122"/>
  <c r="AI6" i="122" s="1"/>
  <c r="T53" i="121"/>
  <c r="T35" i="121"/>
  <c r="T47" i="121"/>
  <c r="T41" i="121"/>
  <c r="T53" i="120"/>
  <c r="T47" i="120"/>
  <c r="T35" i="120"/>
  <c r="X36" i="120" s="1"/>
  <c r="T41" i="120"/>
  <c r="X29" i="120"/>
  <c r="R30" i="119"/>
  <c r="R33" i="119"/>
  <c r="T33" i="119" s="1"/>
  <c r="R42" i="119"/>
  <c r="T42" i="119" s="1"/>
  <c r="R44" i="119"/>
  <c r="T44" i="119" s="1"/>
  <c r="R43" i="119"/>
  <c r="T43" i="119" s="1"/>
  <c r="T31" i="119"/>
  <c r="T46" i="119"/>
  <c r="T30" i="119"/>
  <c r="R45" i="119"/>
  <c r="T45" i="119" s="1"/>
  <c r="R48" i="119"/>
  <c r="T48" i="119" s="1"/>
  <c r="R49" i="119"/>
  <c r="T49" i="119" s="1"/>
  <c r="R50" i="119"/>
  <c r="T50" i="119" s="1"/>
  <c r="T51" i="119"/>
  <c r="R32" i="119"/>
  <c r="T32" i="119" s="1"/>
  <c r="R36" i="119"/>
  <c r="T36" i="119" s="1"/>
  <c r="R37" i="119"/>
  <c r="T37" i="119" s="1"/>
  <c r="R38" i="119"/>
  <c r="T38" i="119" s="1"/>
  <c r="R39" i="119"/>
  <c r="T39" i="119" s="1"/>
  <c r="R40" i="119"/>
  <c r="T40" i="119" s="1"/>
  <c r="R52" i="119"/>
  <c r="T52" i="119" s="1"/>
  <c r="T73" i="119"/>
  <c r="R31" i="118"/>
  <c r="T31" i="118" s="1"/>
  <c r="R33" i="118"/>
  <c r="T33" i="118" s="1"/>
  <c r="R43" i="118"/>
  <c r="T43" i="118" s="1"/>
  <c r="T47" i="118" s="1"/>
  <c r="R49" i="118"/>
  <c r="T49" i="118" s="1"/>
  <c r="T53" i="118" s="1"/>
  <c r="R40" i="118"/>
  <c r="T40" i="118" s="1"/>
  <c r="R45" i="118"/>
  <c r="T45" i="118" s="1"/>
  <c r="R30" i="118"/>
  <c r="T30" i="118" s="1"/>
  <c r="R32" i="118"/>
  <c r="T32" i="118" s="1"/>
  <c r="R34" i="118"/>
  <c r="T34" i="118" s="1"/>
  <c r="T42" i="118"/>
  <c r="T73" i="118"/>
  <c r="R31" i="117"/>
  <c r="T31" i="117" s="1"/>
  <c r="R33" i="117"/>
  <c r="T33" i="117" s="1"/>
  <c r="T36" i="117"/>
  <c r="T49" i="117"/>
  <c r="R51" i="117"/>
  <c r="T51" i="117" s="1"/>
  <c r="R40" i="117"/>
  <c r="T40" i="117" s="1"/>
  <c r="R43" i="117"/>
  <c r="T43" i="117" s="1"/>
  <c r="R48" i="117"/>
  <c r="T48" i="117" s="1"/>
  <c r="T30" i="117"/>
  <c r="T32" i="117"/>
  <c r="T34" i="117"/>
  <c r="T42" i="117"/>
  <c r="R45" i="117"/>
  <c r="T45" i="117" s="1"/>
  <c r="R52" i="117"/>
  <c r="T52" i="117" s="1"/>
  <c r="T41" i="117"/>
  <c r="X61" i="116"/>
  <c r="T62" i="116"/>
  <c r="T66" i="116"/>
  <c r="R69" i="116"/>
  <c r="T69" i="116" s="1"/>
  <c r="R74" i="116"/>
  <c r="T74" i="116" s="1"/>
  <c r="R65" i="116"/>
  <c r="T65" i="116" s="1"/>
  <c r="R83" i="116"/>
  <c r="T83" i="116" s="1"/>
  <c r="R64" i="116"/>
  <c r="T64" i="116" s="1"/>
  <c r="R78" i="116"/>
  <c r="T78" i="116" s="1"/>
  <c r="R82" i="116"/>
  <c r="T82" i="116" s="1"/>
  <c r="T85" i="116" s="1"/>
  <c r="R30" i="116"/>
  <c r="T30" i="116" s="1"/>
  <c r="R31" i="116"/>
  <c r="T31" i="116" s="1"/>
  <c r="R32" i="116"/>
  <c r="T32" i="116" s="1"/>
  <c r="R33" i="116"/>
  <c r="T33" i="116" s="1"/>
  <c r="T36" i="116"/>
  <c r="T49" i="116"/>
  <c r="R51" i="116"/>
  <c r="T51" i="116" s="1"/>
  <c r="R40" i="116"/>
  <c r="T40" i="116" s="1"/>
  <c r="T41" i="116" s="1"/>
  <c r="R43" i="116"/>
  <c r="T43" i="116" s="1"/>
  <c r="R48" i="116"/>
  <c r="T48" i="116" s="1"/>
  <c r="T34" i="116"/>
  <c r="T42" i="116"/>
  <c r="T47" i="116" s="1"/>
  <c r="Z29" i="116" s="1"/>
  <c r="R45" i="116"/>
  <c r="T45" i="116" s="1"/>
  <c r="R52" i="116"/>
  <c r="T52" i="116" s="1"/>
  <c r="R30" i="115"/>
  <c r="T30" i="115" s="1"/>
  <c r="R33" i="115"/>
  <c r="T33" i="115" s="1"/>
  <c r="R43" i="115"/>
  <c r="T43" i="115" s="1"/>
  <c r="R49" i="115"/>
  <c r="T49" i="115" s="1"/>
  <c r="R51" i="115"/>
  <c r="T51" i="115" s="1"/>
  <c r="R32" i="115"/>
  <c r="T32" i="115" s="1"/>
  <c r="R39" i="115"/>
  <c r="T39" i="115" s="1"/>
  <c r="T41" i="115" s="1"/>
  <c r="R48" i="115"/>
  <c r="T48" i="115" s="1"/>
  <c r="T73" i="115"/>
  <c r="T79" i="119" l="1"/>
  <c r="T53" i="115"/>
  <c r="T53" i="116"/>
  <c r="AA29" i="116" s="1"/>
  <c r="T79" i="115"/>
  <c r="AA64" i="115" s="1"/>
  <c r="T35" i="117"/>
  <c r="T67" i="119"/>
  <c r="Y64" i="115"/>
  <c r="Y61" i="115" s="1"/>
  <c r="T53" i="119"/>
  <c r="AA65" i="122"/>
  <c r="AA63" i="122" s="1"/>
  <c r="T79" i="116"/>
  <c r="Y29" i="120"/>
  <c r="Y36" i="120"/>
  <c r="T67" i="115"/>
  <c r="X64" i="115" s="1"/>
  <c r="X61" i="115" s="1"/>
  <c r="T53" i="117"/>
  <c r="X32" i="122"/>
  <c r="X31" i="122" s="1"/>
  <c r="AG6" i="122" s="1"/>
  <c r="Y31" i="122"/>
  <c r="AH6" i="122" s="1"/>
  <c r="T47" i="115"/>
  <c r="Y29" i="121"/>
  <c r="AG62" i="121" s="1"/>
  <c r="AG63" i="121" s="1"/>
  <c r="Y37" i="121"/>
  <c r="Z36" i="120"/>
  <c r="Z29" i="120" s="1"/>
  <c r="T35" i="118"/>
  <c r="X34" i="118" s="1"/>
  <c r="AA36" i="120"/>
  <c r="AA29" i="120" s="1"/>
  <c r="T67" i="118"/>
  <c r="AA34" i="118"/>
  <c r="AA29" i="118" s="1"/>
  <c r="T73" i="116"/>
  <c r="T41" i="118"/>
  <c r="Z34" i="118" s="1"/>
  <c r="Z29" i="118" s="1"/>
  <c r="T79" i="117"/>
  <c r="AA37" i="121"/>
  <c r="X37" i="121"/>
  <c r="AA29" i="121"/>
  <c r="AI62" i="121" s="1"/>
  <c r="AI63" i="121" s="1"/>
  <c r="T47" i="119"/>
  <c r="T35" i="119"/>
  <c r="X35" i="119" s="1"/>
  <c r="T41" i="119"/>
  <c r="T47" i="117"/>
  <c r="T67" i="116"/>
  <c r="T35" i="116"/>
  <c r="X29" i="116"/>
  <c r="Y29" i="116"/>
  <c r="T35" i="115"/>
  <c r="M84" i="112"/>
  <c r="L84" i="112"/>
  <c r="K84" i="112"/>
  <c r="J84" i="112"/>
  <c r="M83" i="112"/>
  <c r="L83" i="112"/>
  <c r="K83" i="112"/>
  <c r="R83" i="112" s="1"/>
  <c r="J83" i="112"/>
  <c r="M82" i="112"/>
  <c r="L82" i="112"/>
  <c r="K82" i="112"/>
  <c r="R82" i="112" s="1"/>
  <c r="T82" i="112" s="1"/>
  <c r="J82" i="112"/>
  <c r="M81" i="112"/>
  <c r="L81" i="112"/>
  <c r="K81" i="112"/>
  <c r="J81" i="112"/>
  <c r="M80" i="112"/>
  <c r="L80" i="112"/>
  <c r="K80" i="112"/>
  <c r="R80" i="112" s="1"/>
  <c r="J80" i="112"/>
  <c r="M78" i="112"/>
  <c r="L78" i="112"/>
  <c r="K78" i="112"/>
  <c r="J78" i="112"/>
  <c r="M77" i="112"/>
  <c r="L77" i="112"/>
  <c r="K77" i="112"/>
  <c r="R77" i="112" s="1"/>
  <c r="T77" i="112" s="1"/>
  <c r="J77" i="112"/>
  <c r="M76" i="112"/>
  <c r="L76" i="112"/>
  <c r="K76" i="112"/>
  <c r="J76" i="112"/>
  <c r="M75" i="112"/>
  <c r="R75" i="112" s="1"/>
  <c r="T75" i="112" s="1"/>
  <c r="L75" i="112"/>
  <c r="K75" i="112"/>
  <c r="J75" i="112"/>
  <c r="M74" i="112"/>
  <c r="L74" i="112"/>
  <c r="R74" i="112" s="1"/>
  <c r="T74" i="112" s="1"/>
  <c r="K74" i="112"/>
  <c r="J74" i="112"/>
  <c r="M72" i="112"/>
  <c r="L72" i="112"/>
  <c r="K72" i="112"/>
  <c r="J72" i="112"/>
  <c r="M71" i="112"/>
  <c r="K71" i="112"/>
  <c r="J71" i="112"/>
  <c r="M70" i="112"/>
  <c r="L70" i="112"/>
  <c r="R70" i="112" s="1"/>
  <c r="T70" i="112" s="1"/>
  <c r="K70" i="112"/>
  <c r="J70" i="112"/>
  <c r="M69" i="112"/>
  <c r="L69" i="112"/>
  <c r="R69" i="112" s="1"/>
  <c r="T69" i="112" s="1"/>
  <c r="K69" i="112"/>
  <c r="J69" i="112"/>
  <c r="R68" i="112"/>
  <c r="T68" i="112" s="1"/>
  <c r="M68" i="112"/>
  <c r="L68" i="112"/>
  <c r="K68" i="112"/>
  <c r="J68" i="112"/>
  <c r="M66" i="112"/>
  <c r="L66" i="112"/>
  <c r="K66" i="112"/>
  <c r="J66" i="112"/>
  <c r="M65" i="112"/>
  <c r="L65" i="112"/>
  <c r="K65" i="112"/>
  <c r="J65" i="112"/>
  <c r="M64" i="112"/>
  <c r="L64" i="112"/>
  <c r="K64" i="112"/>
  <c r="R64" i="112" s="1"/>
  <c r="T64" i="112" s="1"/>
  <c r="J64" i="112"/>
  <c r="M63" i="112"/>
  <c r="L63" i="112"/>
  <c r="K63" i="112"/>
  <c r="J63" i="112"/>
  <c r="M62" i="112"/>
  <c r="L62" i="112"/>
  <c r="K62" i="112"/>
  <c r="J62" i="112"/>
  <c r="J52" i="112"/>
  <c r="R51" i="112"/>
  <c r="J51" i="112"/>
  <c r="J50" i="112"/>
  <c r="R49" i="112"/>
  <c r="J49" i="112"/>
  <c r="J48" i="112"/>
  <c r="R46" i="112"/>
  <c r="J46" i="112"/>
  <c r="R45" i="112"/>
  <c r="J45" i="112"/>
  <c r="R44" i="112"/>
  <c r="T44" i="112" s="1"/>
  <c r="J44" i="112"/>
  <c r="R43" i="112"/>
  <c r="J43" i="112"/>
  <c r="R42" i="112"/>
  <c r="J42" i="112"/>
  <c r="R40" i="112"/>
  <c r="J40" i="112"/>
  <c r="J39" i="112"/>
  <c r="R38" i="112"/>
  <c r="T38" i="112" s="1"/>
  <c r="J38" i="112"/>
  <c r="J37" i="112"/>
  <c r="R36" i="112"/>
  <c r="J36" i="112"/>
  <c r="J34" i="112"/>
  <c r="J33" i="112"/>
  <c r="J32" i="112"/>
  <c r="J31" i="112"/>
  <c r="J30" i="112"/>
  <c r="M84" i="111"/>
  <c r="L84" i="111"/>
  <c r="K84" i="111"/>
  <c r="R84" i="111" s="1"/>
  <c r="T84" i="111" s="1"/>
  <c r="J84" i="111"/>
  <c r="M83" i="111"/>
  <c r="L83" i="111"/>
  <c r="K83" i="111"/>
  <c r="J83" i="111"/>
  <c r="M82" i="111"/>
  <c r="L82" i="111"/>
  <c r="K82" i="111"/>
  <c r="R82" i="111" s="1"/>
  <c r="T82" i="111" s="1"/>
  <c r="J82" i="111"/>
  <c r="M81" i="111"/>
  <c r="L81" i="111"/>
  <c r="K81" i="111"/>
  <c r="R81" i="111" s="1"/>
  <c r="T81" i="111" s="1"/>
  <c r="J81" i="111"/>
  <c r="M80" i="111"/>
  <c r="L80" i="111"/>
  <c r="R80" i="111" s="1"/>
  <c r="T80" i="111" s="1"/>
  <c r="K80" i="111"/>
  <c r="J80" i="111"/>
  <c r="M78" i="111"/>
  <c r="L78" i="111"/>
  <c r="K78" i="111"/>
  <c r="R78" i="111" s="1"/>
  <c r="T78" i="111" s="1"/>
  <c r="J78" i="111"/>
  <c r="M77" i="111"/>
  <c r="L77" i="111"/>
  <c r="K77" i="111"/>
  <c r="R77" i="111" s="1"/>
  <c r="T77" i="111" s="1"/>
  <c r="J77" i="111"/>
  <c r="M76" i="111"/>
  <c r="L76" i="111"/>
  <c r="K76" i="111"/>
  <c r="J76" i="111"/>
  <c r="M75" i="111"/>
  <c r="L75" i="111"/>
  <c r="K75" i="111"/>
  <c r="R75" i="111" s="1"/>
  <c r="T75" i="111" s="1"/>
  <c r="J75" i="111"/>
  <c r="M74" i="111"/>
  <c r="L74" i="111"/>
  <c r="K74" i="111"/>
  <c r="J74" i="111"/>
  <c r="M72" i="111"/>
  <c r="L72" i="111"/>
  <c r="K72" i="111"/>
  <c r="R72" i="111" s="1"/>
  <c r="T72" i="111" s="1"/>
  <c r="J72" i="111"/>
  <c r="M71" i="111"/>
  <c r="K71" i="111"/>
  <c r="J71" i="111"/>
  <c r="M70" i="111"/>
  <c r="L70" i="111"/>
  <c r="K70" i="111"/>
  <c r="R70" i="111" s="1"/>
  <c r="T70" i="111" s="1"/>
  <c r="J70" i="111"/>
  <c r="M69" i="111"/>
  <c r="L69" i="111"/>
  <c r="K69" i="111"/>
  <c r="R69" i="111" s="1"/>
  <c r="T69" i="111" s="1"/>
  <c r="J69" i="111"/>
  <c r="R68" i="111"/>
  <c r="M68" i="111"/>
  <c r="L68" i="111"/>
  <c r="K68" i="111"/>
  <c r="J68" i="111"/>
  <c r="M66" i="111"/>
  <c r="L66" i="111"/>
  <c r="K66" i="111"/>
  <c r="R66" i="111" s="1"/>
  <c r="T66" i="111" s="1"/>
  <c r="J66" i="111"/>
  <c r="M65" i="111"/>
  <c r="L65" i="111"/>
  <c r="K65" i="111"/>
  <c r="J65" i="111"/>
  <c r="M64" i="111"/>
  <c r="L64" i="111"/>
  <c r="K64" i="111"/>
  <c r="R64" i="111" s="1"/>
  <c r="J64" i="111"/>
  <c r="M63" i="111"/>
  <c r="L63" i="111"/>
  <c r="K63" i="111"/>
  <c r="R63" i="111" s="1"/>
  <c r="T63" i="111" s="1"/>
  <c r="J63" i="111"/>
  <c r="M62" i="111"/>
  <c r="L62" i="111"/>
  <c r="K62" i="111"/>
  <c r="J62" i="111"/>
  <c r="J52" i="111"/>
  <c r="R51" i="111"/>
  <c r="J51" i="111"/>
  <c r="J50" i="111"/>
  <c r="R49" i="111"/>
  <c r="T49" i="111" s="1"/>
  <c r="J49" i="111"/>
  <c r="R48" i="111"/>
  <c r="J48" i="111"/>
  <c r="R46" i="111"/>
  <c r="J46" i="111"/>
  <c r="R45" i="111"/>
  <c r="J45" i="111"/>
  <c r="R44" i="111"/>
  <c r="J44" i="111"/>
  <c r="R43" i="111"/>
  <c r="J43" i="111"/>
  <c r="R42" i="111"/>
  <c r="J42" i="111"/>
  <c r="R40" i="111"/>
  <c r="T40" i="111" s="1"/>
  <c r="J40" i="111"/>
  <c r="R39" i="111"/>
  <c r="J39" i="111"/>
  <c r="R38" i="111"/>
  <c r="J38" i="111"/>
  <c r="J37" i="111"/>
  <c r="R36" i="111"/>
  <c r="J36" i="111"/>
  <c r="J34" i="111"/>
  <c r="J33" i="111"/>
  <c r="J32" i="111"/>
  <c r="J31" i="111"/>
  <c r="J30" i="111"/>
  <c r="M84" i="110"/>
  <c r="L84" i="110"/>
  <c r="K84" i="110"/>
  <c r="J84" i="110"/>
  <c r="M83" i="110"/>
  <c r="L83" i="110"/>
  <c r="K83" i="110"/>
  <c r="R83" i="110" s="1"/>
  <c r="J83" i="110"/>
  <c r="M82" i="110"/>
  <c r="L82" i="110"/>
  <c r="K82" i="110"/>
  <c r="R82" i="110" s="1"/>
  <c r="T82" i="110" s="1"/>
  <c r="J82" i="110"/>
  <c r="M81" i="110"/>
  <c r="L81" i="110"/>
  <c r="K81" i="110"/>
  <c r="J81" i="110"/>
  <c r="M80" i="110"/>
  <c r="L80" i="110"/>
  <c r="K80" i="110"/>
  <c r="R80" i="110" s="1"/>
  <c r="J80" i="110"/>
  <c r="M78" i="110"/>
  <c r="L78" i="110"/>
  <c r="K78" i="110"/>
  <c r="R78" i="110" s="1"/>
  <c r="T78" i="110" s="1"/>
  <c r="J78" i="110"/>
  <c r="M77" i="110"/>
  <c r="L77" i="110"/>
  <c r="K77" i="110"/>
  <c r="R77" i="110" s="1"/>
  <c r="T77" i="110" s="1"/>
  <c r="J77" i="110"/>
  <c r="M76" i="110"/>
  <c r="L76" i="110"/>
  <c r="K76" i="110"/>
  <c r="R76" i="110" s="1"/>
  <c r="J76" i="110"/>
  <c r="M75" i="110"/>
  <c r="R75" i="110" s="1"/>
  <c r="T75" i="110" s="1"/>
  <c r="L75" i="110"/>
  <c r="K75" i="110"/>
  <c r="J75" i="110"/>
  <c r="M74" i="110"/>
  <c r="L74" i="110"/>
  <c r="K74" i="110"/>
  <c r="J74" i="110"/>
  <c r="M72" i="110"/>
  <c r="L72" i="110"/>
  <c r="K72" i="110"/>
  <c r="R72" i="110" s="1"/>
  <c r="T72" i="110" s="1"/>
  <c r="J72" i="110"/>
  <c r="M71" i="110"/>
  <c r="K71" i="110"/>
  <c r="J71" i="110"/>
  <c r="M70" i="110"/>
  <c r="L70" i="110"/>
  <c r="R70" i="110" s="1"/>
  <c r="T70" i="110" s="1"/>
  <c r="K70" i="110"/>
  <c r="J70" i="110"/>
  <c r="M69" i="110"/>
  <c r="L69" i="110"/>
  <c r="K69" i="110"/>
  <c r="R69" i="110" s="1"/>
  <c r="T69" i="110" s="1"/>
  <c r="J69" i="110"/>
  <c r="R68" i="110"/>
  <c r="T68" i="110" s="1"/>
  <c r="M68" i="110"/>
  <c r="L68" i="110"/>
  <c r="K68" i="110"/>
  <c r="J68" i="110"/>
  <c r="M66" i="110"/>
  <c r="L66" i="110"/>
  <c r="K66" i="110"/>
  <c r="J66" i="110"/>
  <c r="M65" i="110"/>
  <c r="L65" i="110"/>
  <c r="K65" i="110"/>
  <c r="J65" i="110"/>
  <c r="M64" i="110"/>
  <c r="L64" i="110"/>
  <c r="K64" i="110"/>
  <c r="R64" i="110" s="1"/>
  <c r="T64" i="110" s="1"/>
  <c r="J64" i="110"/>
  <c r="M63" i="110"/>
  <c r="L63" i="110"/>
  <c r="K63" i="110"/>
  <c r="J63" i="110"/>
  <c r="M62" i="110"/>
  <c r="L62" i="110"/>
  <c r="K62" i="110"/>
  <c r="J62" i="110"/>
  <c r="M52" i="110"/>
  <c r="L52" i="110"/>
  <c r="K52" i="110"/>
  <c r="J52" i="110"/>
  <c r="M51" i="110"/>
  <c r="L51" i="110"/>
  <c r="K51" i="110"/>
  <c r="J51" i="110"/>
  <c r="M50" i="110"/>
  <c r="L50" i="110"/>
  <c r="K50" i="110"/>
  <c r="J50" i="110"/>
  <c r="M49" i="110"/>
  <c r="L49" i="110"/>
  <c r="K49" i="110"/>
  <c r="J49" i="110"/>
  <c r="M48" i="110"/>
  <c r="L48" i="110"/>
  <c r="K48" i="110"/>
  <c r="J48" i="110"/>
  <c r="M46" i="110"/>
  <c r="L46" i="110"/>
  <c r="K46" i="110"/>
  <c r="R46" i="110" s="1"/>
  <c r="J46" i="110"/>
  <c r="M45" i="110"/>
  <c r="L45" i="110"/>
  <c r="K45" i="110"/>
  <c r="J45" i="110"/>
  <c r="M44" i="110"/>
  <c r="L44" i="110"/>
  <c r="K44" i="110"/>
  <c r="J44" i="110"/>
  <c r="M43" i="110"/>
  <c r="L43" i="110"/>
  <c r="K43" i="110"/>
  <c r="R43" i="110" s="1"/>
  <c r="J43" i="110"/>
  <c r="M42" i="110"/>
  <c r="L42" i="110"/>
  <c r="K42" i="110"/>
  <c r="J42" i="110"/>
  <c r="M40" i="110"/>
  <c r="L40" i="110"/>
  <c r="K40" i="110"/>
  <c r="J40" i="110"/>
  <c r="M39" i="110"/>
  <c r="L39" i="110"/>
  <c r="K39" i="110"/>
  <c r="J39" i="110"/>
  <c r="M38" i="110"/>
  <c r="L38" i="110"/>
  <c r="K38" i="110"/>
  <c r="J38" i="110"/>
  <c r="M37" i="110"/>
  <c r="L37" i="110"/>
  <c r="K37" i="110"/>
  <c r="J37" i="110"/>
  <c r="M36" i="110"/>
  <c r="L36" i="110"/>
  <c r="K36" i="110"/>
  <c r="R36" i="110" s="1"/>
  <c r="J36" i="110"/>
  <c r="M34" i="110"/>
  <c r="L34" i="110"/>
  <c r="K34" i="110"/>
  <c r="J34" i="110"/>
  <c r="M33" i="110"/>
  <c r="L33" i="110"/>
  <c r="K33" i="110"/>
  <c r="J33" i="110"/>
  <c r="M32" i="110"/>
  <c r="L32" i="110"/>
  <c r="K32" i="110"/>
  <c r="J32" i="110"/>
  <c r="M31" i="110"/>
  <c r="L31" i="110"/>
  <c r="K31" i="110"/>
  <c r="R31" i="110" s="1"/>
  <c r="J31" i="110"/>
  <c r="M30" i="110"/>
  <c r="L30" i="110"/>
  <c r="K30" i="110"/>
  <c r="J30" i="110"/>
  <c r="AA61" i="115" l="1"/>
  <c r="Z64" i="115"/>
  <c r="Z61" i="115" s="1"/>
  <c r="R62" i="110"/>
  <c r="T62" i="110" s="1"/>
  <c r="R65" i="110"/>
  <c r="T65" i="110" s="1"/>
  <c r="R74" i="111"/>
  <c r="T74" i="111" s="1"/>
  <c r="R62" i="112"/>
  <c r="T62" i="112" s="1"/>
  <c r="R65" i="112"/>
  <c r="T65" i="112" s="1"/>
  <c r="R78" i="112"/>
  <c r="T78" i="112" s="1"/>
  <c r="T45" i="112"/>
  <c r="R72" i="112"/>
  <c r="T72" i="112" s="1"/>
  <c r="T73" i="112" s="1"/>
  <c r="AA35" i="119"/>
  <c r="AA29" i="119" s="1"/>
  <c r="T80" i="110"/>
  <c r="T83" i="110"/>
  <c r="T64" i="111"/>
  <c r="T46" i="112"/>
  <c r="R76" i="112"/>
  <c r="T76" i="112" s="1"/>
  <c r="T80" i="112"/>
  <c r="T83" i="112"/>
  <c r="Z30" i="115"/>
  <c r="R30" i="110"/>
  <c r="R48" i="110"/>
  <c r="T48" i="110" s="1"/>
  <c r="R51" i="110"/>
  <c r="R63" i="110"/>
  <c r="T63" i="110" s="1"/>
  <c r="R66" i="110"/>
  <c r="T66" i="110" s="1"/>
  <c r="T36" i="111"/>
  <c r="R63" i="112"/>
  <c r="T63" i="112" s="1"/>
  <c r="R66" i="112"/>
  <c r="T66" i="112" s="1"/>
  <c r="R40" i="110"/>
  <c r="T40" i="110" s="1"/>
  <c r="R74" i="110"/>
  <c r="T74" i="110" s="1"/>
  <c r="R71" i="111"/>
  <c r="T71" i="111" s="1"/>
  <c r="T40" i="112"/>
  <c r="T68" i="111"/>
  <c r="Y34" i="118"/>
  <c r="Y29" i="118" s="1"/>
  <c r="X29" i="118"/>
  <c r="R81" i="110"/>
  <c r="T81" i="110" s="1"/>
  <c r="R84" i="110"/>
  <c r="T84" i="110" s="1"/>
  <c r="T38" i="111"/>
  <c r="R62" i="111"/>
  <c r="T62" i="111" s="1"/>
  <c r="T67" i="111" s="1"/>
  <c r="R65" i="111"/>
  <c r="T65" i="111" s="1"/>
  <c r="T42" i="112"/>
  <c r="T47" i="112" s="1"/>
  <c r="R81" i="112"/>
  <c r="T81" i="112" s="1"/>
  <c r="R84" i="112"/>
  <c r="T84" i="112" s="1"/>
  <c r="Y30" i="115"/>
  <c r="AA30" i="115"/>
  <c r="AA29" i="115" s="1"/>
  <c r="T76" i="110"/>
  <c r="T79" i="110" s="1"/>
  <c r="T39" i="111"/>
  <c r="R76" i="111"/>
  <c r="T76" i="111" s="1"/>
  <c r="T43" i="112"/>
  <c r="X29" i="119"/>
  <c r="R71" i="110"/>
  <c r="T71" i="110" s="1"/>
  <c r="R83" i="111"/>
  <c r="T83" i="111" s="1"/>
  <c r="R71" i="112"/>
  <c r="T71" i="112" s="1"/>
  <c r="Y35" i="119"/>
  <c r="Y29" i="119" s="1"/>
  <c r="Z37" i="121"/>
  <c r="Z29" i="121" s="1"/>
  <c r="AH62" i="121" s="1"/>
  <c r="AH63" i="121" s="1"/>
  <c r="X29" i="121"/>
  <c r="AF62" i="121" s="1"/>
  <c r="AF63" i="121" s="1"/>
  <c r="Y29" i="115"/>
  <c r="T49" i="112"/>
  <c r="R39" i="112"/>
  <c r="T39" i="112" s="1"/>
  <c r="T51" i="112"/>
  <c r="R30" i="112"/>
  <c r="T30" i="112" s="1"/>
  <c r="R31" i="112"/>
  <c r="T31" i="112" s="1"/>
  <c r="R32" i="112"/>
  <c r="T32" i="112" s="1"/>
  <c r="R33" i="112"/>
  <c r="T33" i="112" s="1"/>
  <c r="R34" i="112"/>
  <c r="T34" i="112" s="1"/>
  <c r="R48" i="112"/>
  <c r="T48" i="112" s="1"/>
  <c r="T36" i="112"/>
  <c r="R50" i="112"/>
  <c r="T50" i="112" s="1"/>
  <c r="R37" i="112"/>
  <c r="T37" i="112" s="1"/>
  <c r="R52" i="112"/>
  <c r="T52" i="112" s="1"/>
  <c r="R30" i="111"/>
  <c r="T30" i="111" s="1"/>
  <c r="R31" i="111"/>
  <c r="T31" i="111" s="1"/>
  <c r="R32" i="111"/>
  <c r="T32" i="111" s="1"/>
  <c r="R33" i="111"/>
  <c r="T33" i="111" s="1"/>
  <c r="R34" i="111"/>
  <c r="T34" i="111" s="1"/>
  <c r="R50" i="111"/>
  <c r="T50" i="111" s="1"/>
  <c r="T42" i="111"/>
  <c r="T43" i="111"/>
  <c r="T44" i="111"/>
  <c r="T45" i="111"/>
  <c r="T46" i="111"/>
  <c r="T48" i="111"/>
  <c r="T51" i="111"/>
  <c r="R37" i="111"/>
  <c r="T37" i="111" s="1"/>
  <c r="R52" i="111"/>
  <c r="T52" i="111" s="1"/>
  <c r="T79" i="112"/>
  <c r="T73" i="111"/>
  <c r="T85" i="111"/>
  <c r="T79" i="111"/>
  <c r="X64" i="111" s="1"/>
  <c r="R33" i="110"/>
  <c r="R44" i="110"/>
  <c r="T44" i="110" s="1"/>
  <c r="R34" i="110"/>
  <c r="T46" i="110"/>
  <c r="R32" i="110"/>
  <c r="T32" i="110" s="1"/>
  <c r="R49" i="110"/>
  <c r="T49" i="110" s="1"/>
  <c r="R42" i="110"/>
  <c r="T42" i="110" s="1"/>
  <c r="R50" i="110"/>
  <c r="T43" i="110"/>
  <c r="R38" i="110"/>
  <c r="T38" i="110" s="1"/>
  <c r="R45" i="110"/>
  <c r="T45" i="110" s="1"/>
  <c r="T36" i="110"/>
  <c r="T51" i="110"/>
  <c r="T31" i="110"/>
  <c r="T33" i="110"/>
  <c r="T50" i="110"/>
  <c r="R37" i="110"/>
  <c r="T37" i="110" s="1"/>
  <c r="R52" i="110"/>
  <c r="T52" i="110" s="1"/>
  <c r="T30" i="110"/>
  <c r="T34" i="110"/>
  <c r="R39" i="110"/>
  <c r="T39" i="110" s="1"/>
  <c r="T73" i="110"/>
  <c r="M84" i="109"/>
  <c r="L84" i="109"/>
  <c r="K84" i="109"/>
  <c r="R84" i="109" s="1"/>
  <c r="J84" i="109"/>
  <c r="M83" i="109"/>
  <c r="L83" i="109"/>
  <c r="K83" i="109"/>
  <c r="J83" i="109"/>
  <c r="M82" i="109"/>
  <c r="L82" i="109"/>
  <c r="K82" i="109"/>
  <c r="J82" i="109"/>
  <c r="M81" i="109"/>
  <c r="L81" i="109"/>
  <c r="K81" i="109"/>
  <c r="R81" i="109" s="1"/>
  <c r="J81" i="109"/>
  <c r="M80" i="109"/>
  <c r="L80" i="109"/>
  <c r="K80" i="109"/>
  <c r="J80" i="109"/>
  <c r="M78" i="109"/>
  <c r="L78" i="109"/>
  <c r="K78" i="109"/>
  <c r="J78" i="109"/>
  <c r="M77" i="109"/>
  <c r="L77" i="109"/>
  <c r="K77" i="109"/>
  <c r="R77" i="109" s="1"/>
  <c r="T77" i="109" s="1"/>
  <c r="J77" i="109"/>
  <c r="M76" i="109"/>
  <c r="L76" i="109"/>
  <c r="R76" i="109" s="1"/>
  <c r="K76" i="109"/>
  <c r="J76" i="109"/>
  <c r="M75" i="109"/>
  <c r="L75" i="109"/>
  <c r="R75" i="109" s="1"/>
  <c r="T75" i="109" s="1"/>
  <c r="K75" i="109"/>
  <c r="J75" i="109"/>
  <c r="M74" i="109"/>
  <c r="L74" i="109"/>
  <c r="K74" i="109"/>
  <c r="J74" i="109"/>
  <c r="M72" i="109"/>
  <c r="L72" i="109"/>
  <c r="K72" i="109"/>
  <c r="R72" i="109" s="1"/>
  <c r="J72" i="109"/>
  <c r="M71" i="109"/>
  <c r="K71" i="109"/>
  <c r="R71" i="109" s="1"/>
  <c r="T71" i="109" s="1"/>
  <c r="J71" i="109"/>
  <c r="M70" i="109"/>
  <c r="L70" i="109"/>
  <c r="K70" i="109"/>
  <c r="R70" i="109" s="1"/>
  <c r="T70" i="109" s="1"/>
  <c r="J70" i="109"/>
  <c r="M69" i="109"/>
  <c r="L69" i="109"/>
  <c r="K69" i="109"/>
  <c r="J69" i="109"/>
  <c r="M68" i="109"/>
  <c r="R68" i="109" s="1"/>
  <c r="T68" i="109" s="1"/>
  <c r="L68" i="109"/>
  <c r="K68" i="109"/>
  <c r="J68" i="109"/>
  <c r="M66" i="109"/>
  <c r="L66" i="109"/>
  <c r="K66" i="109"/>
  <c r="J66" i="109"/>
  <c r="M65" i="109"/>
  <c r="L65" i="109"/>
  <c r="K65" i="109"/>
  <c r="R65" i="109" s="1"/>
  <c r="J65" i="109"/>
  <c r="M64" i="109"/>
  <c r="L64" i="109"/>
  <c r="K64" i="109"/>
  <c r="J64" i="109"/>
  <c r="M63" i="109"/>
  <c r="L63" i="109"/>
  <c r="K63" i="109"/>
  <c r="J63" i="109"/>
  <c r="M62" i="109"/>
  <c r="L62" i="109"/>
  <c r="K62" i="109"/>
  <c r="R62" i="109" s="1"/>
  <c r="J62" i="109"/>
  <c r="M52" i="109"/>
  <c r="L52" i="109"/>
  <c r="K52" i="109"/>
  <c r="J52" i="109"/>
  <c r="M51" i="109"/>
  <c r="L51" i="109"/>
  <c r="R51" i="109" s="1"/>
  <c r="K51" i="109"/>
  <c r="J51" i="109"/>
  <c r="M50" i="109"/>
  <c r="L50" i="109"/>
  <c r="K50" i="109"/>
  <c r="J50" i="109"/>
  <c r="M49" i="109"/>
  <c r="L49" i="109"/>
  <c r="K49" i="109"/>
  <c r="J49" i="109"/>
  <c r="M48" i="109"/>
  <c r="L48" i="109"/>
  <c r="K48" i="109"/>
  <c r="J48" i="109"/>
  <c r="M46" i="109"/>
  <c r="L46" i="109"/>
  <c r="K46" i="109"/>
  <c r="R46" i="109" s="1"/>
  <c r="J46" i="109"/>
  <c r="M45" i="109"/>
  <c r="L45" i="109"/>
  <c r="K45" i="109"/>
  <c r="J45" i="109"/>
  <c r="M44" i="109"/>
  <c r="L44" i="109"/>
  <c r="K44" i="109"/>
  <c r="J44" i="109"/>
  <c r="M43" i="109"/>
  <c r="L43" i="109"/>
  <c r="K43" i="109"/>
  <c r="R43" i="109" s="1"/>
  <c r="J43" i="109"/>
  <c r="M42" i="109"/>
  <c r="L42" i="109"/>
  <c r="K42" i="109"/>
  <c r="J42" i="109"/>
  <c r="M40" i="109"/>
  <c r="L40" i="109"/>
  <c r="K40" i="109"/>
  <c r="J40" i="109"/>
  <c r="M39" i="109"/>
  <c r="L39" i="109"/>
  <c r="K39" i="109"/>
  <c r="J39" i="109"/>
  <c r="M38" i="109"/>
  <c r="L38" i="109"/>
  <c r="K38" i="109"/>
  <c r="J38" i="109"/>
  <c r="M37" i="109"/>
  <c r="L37" i="109"/>
  <c r="K37" i="109"/>
  <c r="J37" i="109"/>
  <c r="M36" i="109"/>
  <c r="L36" i="109"/>
  <c r="K36" i="109"/>
  <c r="R36" i="109" s="1"/>
  <c r="J36" i="109"/>
  <c r="M34" i="109"/>
  <c r="L34" i="109"/>
  <c r="K34" i="109"/>
  <c r="J34" i="109"/>
  <c r="M33" i="109"/>
  <c r="L33" i="109"/>
  <c r="K33" i="109"/>
  <c r="J33" i="109"/>
  <c r="M32" i="109"/>
  <c r="L32" i="109"/>
  <c r="K32" i="109"/>
  <c r="J32" i="109"/>
  <c r="M31" i="109"/>
  <c r="L31" i="109"/>
  <c r="K31" i="109"/>
  <c r="J31" i="109"/>
  <c r="M30" i="109"/>
  <c r="L30" i="109"/>
  <c r="K30" i="109"/>
  <c r="J30" i="109"/>
  <c r="R82" i="109" l="1"/>
  <c r="T82" i="109" s="1"/>
  <c r="AA64" i="111"/>
  <c r="AA61" i="111" s="1"/>
  <c r="Y64" i="110"/>
  <c r="Y61" i="110" s="1"/>
  <c r="T53" i="112"/>
  <c r="X30" i="115"/>
  <c r="X29" i="115" s="1"/>
  <c r="Z29" i="115"/>
  <c r="T62" i="109"/>
  <c r="R69" i="109"/>
  <c r="T69" i="109" s="1"/>
  <c r="T85" i="112"/>
  <c r="AA64" i="112" s="1"/>
  <c r="AA61" i="112" s="1"/>
  <c r="T65" i="109"/>
  <c r="T76" i="109"/>
  <c r="R80" i="109"/>
  <c r="T80" i="109" s="1"/>
  <c r="R83" i="109"/>
  <c r="T83" i="109" s="1"/>
  <c r="R30" i="109"/>
  <c r="T30" i="109" s="1"/>
  <c r="R40" i="109"/>
  <c r="T40" i="109" s="1"/>
  <c r="R44" i="109"/>
  <c r="T44" i="109" s="1"/>
  <c r="R63" i="109"/>
  <c r="T63" i="109" s="1"/>
  <c r="R66" i="109"/>
  <c r="T66" i="109" s="1"/>
  <c r="T67" i="112"/>
  <c r="X64" i="112" s="1"/>
  <c r="R78" i="109"/>
  <c r="T78" i="109" s="1"/>
  <c r="T72" i="109"/>
  <c r="T46" i="109"/>
  <c r="R39" i="109"/>
  <c r="T39" i="109" s="1"/>
  <c r="T81" i="109"/>
  <c r="T85" i="110"/>
  <c r="AA64" i="110" s="1"/>
  <c r="AA61" i="110" s="1"/>
  <c r="T67" i="110"/>
  <c r="X64" i="110" s="1"/>
  <c r="T84" i="109"/>
  <c r="R42" i="109"/>
  <c r="R45" i="109"/>
  <c r="R64" i="109"/>
  <c r="T64" i="109" s="1"/>
  <c r="T41" i="111"/>
  <c r="Z35" i="119"/>
  <c r="Z29" i="119" s="1"/>
  <c r="R74" i="109"/>
  <c r="T74" i="109" s="1"/>
  <c r="T79" i="109" s="1"/>
  <c r="T41" i="112"/>
  <c r="T35" i="112"/>
  <c r="T47" i="111"/>
  <c r="T35" i="111"/>
  <c r="X36" i="111" s="1"/>
  <c r="T53" i="111"/>
  <c r="AA36" i="111" s="1"/>
  <c r="AA29" i="111" s="1"/>
  <c r="X61" i="112"/>
  <c r="Y64" i="112"/>
  <c r="Y61" i="112" s="1"/>
  <c r="Y64" i="111"/>
  <c r="Y61" i="111" s="1"/>
  <c r="X61" i="111"/>
  <c r="T47" i="110"/>
  <c r="T53" i="110"/>
  <c r="T35" i="110"/>
  <c r="X35" i="110" s="1"/>
  <c r="T41" i="110"/>
  <c r="X61" i="110"/>
  <c r="T42" i="109"/>
  <c r="R38" i="109"/>
  <c r="T38" i="109" s="1"/>
  <c r="T43" i="109"/>
  <c r="T45" i="109"/>
  <c r="R49" i="109"/>
  <c r="T49" i="109" s="1"/>
  <c r="T36" i="109"/>
  <c r="T51" i="109"/>
  <c r="R32" i="109"/>
  <c r="T32" i="109" s="1"/>
  <c r="R33" i="109"/>
  <c r="T33" i="109" s="1"/>
  <c r="R34" i="109"/>
  <c r="T34" i="109" s="1"/>
  <c r="R48" i="109"/>
  <c r="T48" i="109" s="1"/>
  <c r="R31" i="109"/>
  <c r="T31" i="109" s="1"/>
  <c r="R50" i="109"/>
  <c r="T50" i="109" s="1"/>
  <c r="R37" i="109"/>
  <c r="T37" i="109" s="1"/>
  <c r="R52" i="109"/>
  <c r="T52" i="109" s="1"/>
  <c r="T73" i="109"/>
  <c r="Y64" i="109" s="1"/>
  <c r="Y61" i="109" s="1"/>
  <c r="M84" i="108"/>
  <c r="L84" i="108"/>
  <c r="R84" i="108" s="1"/>
  <c r="T84" i="108" s="1"/>
  <c r="K84" i="108"/>
  <c r="J84" i="108"/>
  <c r="M83" i="108"/>
  <c r="L83" i="108"/>
  <c r="K83" i="108"/>
  <c r="J83" i="108"/>
  <c r="R82" i="108"/>
  <c r="T82" i="108" s="1"/>
  <c r="M82" i="108"/>
  <c r="L82" i="108"/>
  <c r="K82" i="108"/>
  <c r="J82" i="108"/>
  <c r="M81" i="108"/>
  <c r="L81" i="108"/>
  <c r="K81" i="108"/>
  <c r="J81" i="108"/>
  <c r="M80" i="108"/>
  <c r="L80" i="108"/>
  <c r="K80" i="108"/>
  <c r="R80" i="108" s="1"/>
  <c r="T80" i="108" s="1"/>
  <c r="J80" i="108"/>
  <c r="M78" i="108"/>
  <c r="L78" i="108"/>
  <c r="K78" i="108"/>
  <c r="J78" i="108"/>
  <c r="M77" i="108"/>
  <c r="L77" i="108"/>
  <c r="K77" i="108"/>
  <c r="J77" i="108"/>
  <c r="M76" i="108"/>
  <c r="L76" i="108"/>
  <c r="K76" i="108"/>
  <c r="J76" i="108"/>
  <c r="M75" i="108"/>
  <c r="L75" i="108"/>
  <c r="K75" i="108"/>
  <c r="R75" i="108" s="1"/>
  <c r="J75" i="108"/>
  <c r="M74" i="108"/>
  <c r="L74" i="108"/>
  <c r="R74" i="108" s="1"/>
  <c r="K74" i="108"/>
  <c r="J74" i="108"/>
  <c r="M72" i="108"/>
  <c r="L72" i="108"/>
  <c r="K72" i="108"/>
  <c r="R72" i="108" s="1"/>
  <c r="T72" i="108" s="1"/>
  <c r="J72" i="108"/>
  <c r="M71" i="108"/>
  <c r="K71" i="108"/>
  <c r="R71" i="108" s="1"/>
  <c r="T71" i="108" s="1"/>
  <c r="J71" i="108"/>
  <c r="M70" i="108"/>
  <c r="L70" i="108"/>
  <c r="K70" i="108"/>
  <c r="J70" i="108"/>
  <c r="M69" i="108"/>
  <c r="L69" i="108"/>
  <c r="K69" i="108"/>
  <c r="J69" i="108"/>
  <c r="M68" i="108"/>
  <c r="L68" i="108"/>
  <c r="K68" i="108"/>
  <c r="R68" i="108" s="1"/>
  <c r="J68" i="108"/>
  <c r="M66" i="108"/>
  <c r="L66" i="108"/>
  <c r="K66" i="108"/>
  <c r="R66" i="108" s="1"/>
  <c r="T66" i="108" s="1"/>
  <c r="J66" i="108"/>
  <c r="M65" i="108"/>
  <c r="L65" i="108"/>
  <c r="K65" i="108"/>
  <c r="J65" i="108"/>
  <c r="M64" i="108"/>
  <c r="L64" i="108"/>
  <c r="R64" i="108" s="1"/>
  <c r="T64" i="108" s="1"/>
  <c r="K64" i="108"/>
  <c r="J64" i="108"/>
  <c r="M63" i="108"/>
  <c r="L63" i="108"/>
  <c r="K63" i="108"/>
  <c r="J63" i="108"/>
  <c r="R62" i="108"/>
  <c r="T62" i="108" s="1"/>
  <c r="M62" i="108"/>
  <c r="L62" i="108"/>
  <c r="K62" i="108"/>
  <c r="J62" i="108"/>
  <c r="M52" i="108"/>
  <c r="L52" i="108"/>
  <c r="K52" i="108"/>
  <c r="J52" i="108"/>
  <c r="M51" i="108"/>
  <c r="L51" i="108"/>
  <c r="K51" i="108"/>
  <c r="J51" i="108"/>
  <c r="M50" i="108"/>
  <c r="L50" i="108"/>
  <c r="K50" i="108"/>
  <c r="J50" i="108"/>
  <c r="M49" i="108"/>
  <c r="L49" i="108"/>
  <c r="K49" i="108"/>
  <c r="J49" i="108"/>
  <c r="M48" i="108"/>
  <c r="L48" i="108"/>
  <c r="K48" i="108"/>
  <c r="J48" i="108"/>
  <c r="M46" i="108"/>
  <c r="L46" i="108"/>
  <c r="K46" i="108"/>
  <c r="J46" i="108"/>
  <c r="M45" i="108"/>
  <c r="L45" i="108"/>
  <c r="K45" i="108"/>
  <c r="J45" i="108"/>
  <c r="M44" i="108"/>
  <c r="L44" i="108"/>
  <c r="K44" i="108"/>
  <c r="J44" i="108"/>
  <c r="M43" i="108"/>
  <c r="R43" i="108" s="1"/>
  <c r="L43" i="108"/>
  <c r="K43" i="108"/>
  <c r="J43" i="108"/>
  <c r="M42" i="108"/>
  <c r="L42" i="108"/>
  <c r="K42" i="108"/>
  <c r="J42" i="108"/>
  <c r="M40" i="108"/>
  <c r="L40" i="108"/>
  <c r="K40" i="108"/>
  <c r="J40" i="108"/>
  <c r="M39" i="108"/>
  <c r="L39" i="108"/>
  <c r="K39" i="108"/>
  <c r="J39" i="108"/>
  <c r="M38" i="108"/>
  <c r="L38" i="108"/>
  <c r="K38" i="108"/>
  <c r="J38" i="108"/>
  <c r="M37" i="108"/>
  <c r="L37" i="108"/>
  <c r="K37" i="108"/>
  <c r="J37" i="108"/>
  <c r="M36" i="108"/>
  <c r="L36" i="108"/>
  <c r="K36" i="108"/>
  <c r="J36" i="108"/>
  <c r="M34" i="108"/>
  <c r="L34" i="108"/>
  <c r="K34" i="108"/>
  <c r="J34" i="108"/>
  <c r="M33" i="108"/>
  <c r="L33" i="108"/>
  <c r="K33" i="108"/>
  <c r="J33" i="108"/>
  <c r="M32" i="108"/>
  <c r="L32" i="108"/>
  <c r="K32" i="108"/>
  <c r="J32" i="108"/>
  <c r="M31" i="108"/>
  <c r="L31" i="108"/>
  <c r="K31" i="108"/>
  <c r="J31" i="108"/>
  <c r="M30" i="108"/>
  <c r="L30" i="108"/>
  <c r="K30" i="108"/>
  <c r="J30" i="108"/>
  <c r="L72" i="107"/>
  <c r="M84" i="107"/>
  <c r="L84" i="107"/>
  <c r="K84" i="107"/>
  <c r="M83" i="107"/>
  <c r="L83" i="107"/>
  <c r="K83" i="107"/>
  <c r="M82" i="107"/>
  <c r="L82" i="107"/>
  <c r="K82" i="107"/>
  <c r="M81" i="107"/>
  <c r="L81" i="107"/>
  <c r="K81" i="107"/>
  <c r="M80" i="107"/>
  <c r="L80" i="107"/>
  <c r="K80" i="107"/>
  <c r="M78" i="107"/>
  <c r="L78" i="107"/>
  <c r="K78" i="107"/>
  <c r="M77" i="107"/>
  <c r="L77" i="107"/>
  <c r="K77" i="107"/>
  <c r="M76" i="107"/>
  <c r="L76" i="107"/>
  <c r="K76" i="107"/>
  <c r="M75" i="107"/>
  <c r="L75" i="107"/>
  <c r="K75" i="107"/>
  <c r="M74" i="107"/>
  <c r="L74" i="107"/>
  <c r="K74" i="107"/>
  <c r="M72" i="107"/>
  <c r="K72" i="107"/>
  <c r="M71" i="107"/>
  <c r="K71" i="107"/>
  <c r="M70" i="107"/>
  <c r="L70" i="107"/>
  <c r="K70" i="107"/>
  <c r="M69" i="107"/>
  <c r="L69" i="107"/>
  <c r="K69" i="107"/>
  <c r="M68" i="107"/>
  <c r="L68" i="107"/>
  <c r="K68" i="107"/>
  <c r="M66" i="107"/>
  <c r="L66" i="107"/>
  <c r="K66" i="107"/>
  <c r="M65" i="107"/>
  <c r="L65" i="107"/>
  <c r="K65" i="107"/>
  <c r="M64" i="107"/>
  <c r="L64" i="107"/>
  <c r="K64" i="107"/>
  <c r="M63" i="107"/>
  <c r="L63" i="107"/>
  <c r="K63" i="107"/>
  <c r="M62" i="107"/>
  <c r="L62" i="107"/>
  <c r="K62" i="107"/>
  <c r="M52" i="107"/>
  <c r="M51" i="107"/>
  <c r="M50" i="107"/>
  <c r="M49" i="107"/>
  <c r="M48" i="107"/>
  <c r="M43" i="107"/>
  <c r="M44" i="107"/>
  <c r="M45" i="107"/>
  <c r="M46" i="107"/>
  <c r="M42" i="107"/>
  <c r="M40" i="107"/>
  <c r="M39" i="107"/>
  <c r="M38" i="107"/>
  <c r="M37" i="107"/>
  <c r="M36" i="107"/>
  <c r="M31" i="107"/>
  <c r="M32" i="107"/>
  <c r="M33" i="107"/>
  <c r="M34" i="107"/>
  <c r="M30" i="107"/>
  <c r="K52" i="107"/>
  <c r="K51" i="107"/>
  <c r="K50" i="107"/>
  <c r="K49" i="107"/>
  <c r="K48" i="107"/>
  <c r="K46" i="107"/>
  <c r="K45" i="107"/>
  <c r="K44" i="107"/>
  <c r="K43" i="107"/>
  <c r="K42" i="107"/>
  <c r="K40" i="107"/>
  <c r="K39" i="107"/>
  <c r="K38" i="107"/>
  <c r="K37" i="107"/>
  <c r="K36" i="107"/>
  <c r="L52" i="107"/>
  <c r="L51" i="107"/>
  <c r="L50" i="107"/>
  <c r="L49" i="107"/>
  <c r="L48" i="107"/>
  <c r="L46" i="107"/>
  <c r="L45" i="107"/>
  <c r="L44" i="107"/>
  <c r="L43" i="107"/>
  <c r="L42" i="107"/>
  <c r="L40" i="107"/>
  <c r="L39" i="107"/>
  <c r="L38" i="107"/>
  <c r="L37" i="107"/>
  <c r="L36" i="107"/>
  <c r="L34" i="107"/>
  <c r="L33" i="107"/>
  <c r="L32" i="107"/>
  <c r="L31" i="107"/>
  <c r="L30" i="107"/>
  <c r="K34" i="107"/>
  <c r="K33" i="107"/>
  <c r="K32" i="107"/>
  <c r="K31" i="107"/>
  <c r="K30" i="107"/>
  <c r="Z64" i="110" l="1"/>
  <c r="Z61" i="110" s="1"/>
  <c r="Z37" i="112"/>
  <c r="Z29" i="112" s="1"/>
  <c r="R30" i="108"/>
  <c r="T30" i="108" s="1"/>
  <c r="R33" i="108"/>
  <c r="T33" i="108" s="1"/>
  <c r="R69" i="108"/>
  <c r="T69" i="108" s="1"/>
  <c r="R76" i="108"/>
  <c r="T76" i="108" s="1"/>
  <c r="T47" i="109"/>
  <c r="R37" i="108"/>
  <c r="R63" i="108"/>
  <c r="T63" i="108" s="1"/>
  <c r="R83" i="108"/>
  <c r="T83" i="108" s="1"/>
  <c r="Z64" i="111"/>
  <c r="Z61" i="111" s="1"/>
  <c r="Y29" i="111"/>
  <c r="Y36" i="111"/>
  <c r="R70" i="108"/>
  <c r="T70" i="108" s="1"/>
  <c r="R77" i="108"/>
  <c r="T77" i="108" s="1"/>
  <c r="T67" i="109"/>
  <c r="X64" i="109" s="1"/>
  <c r="Z64" i="109" s="1"/>
  <c r="Z61" i="109" s="1"/>
  <c r="T74" i="108"/>
  <c r="T79" i="108" s="1"/>
  <c r="R81" i="108"/>
  <c r="T81" i="108" s="1"/>
  <c r="R34" i="108"/>
  <c r="T34" i="108" s="1"/>
  <c r="R52" i="108"/>
  <c r="T52" i="108" s="1"/>
  <c r="AA29" i="112"/>
  <c r="AA37" i="112"/>
  <c r="T68" i="108"/>
  <c r="T73" i="108" s="1"/>
  <c r="T75" i="108"/>
  <c r="R78" i="108"/>
  <c r="T78" i="108" s="1"/>
  <c r="Z36" i="111"/>
  <c r="Z29" i="111" s="1"/>
  <c r="R50" i="108"/>
  <c r="T50" i="108" s="1"/>
  <c r="T85" i="109"/>
  <c r="AA64" i="109" s="1"/>
  <c r="AA61" i="109" s="1"/>
  <c r="R65" i="108"/>
  <c r="T65" i="108" s="1"/>
  <c r="X29" i="111"/>
  <c r="X37" i="112"/>
  <c r="Z64" i="112"/>
  <c r="Z61" i="112" s="1"/>
  <c r="AA35" i="110"/>
  <c r="AA29" i="110" s="1"/>
  <c r="Y35" i="110"/>
  <c r="Y29" i="110" s="1"/>
  <c r="X29" i="110"/>
  <c r="T53" i="109"/>
  <c r="T35" i="109"/>
  <c r="T41" i="109"/>
  <c r="X61" i="109"/>
  <c r="R45" i="108"/>
  <c r="T45" i="108" s="1"/>
  <c r="R32" i="108"/>
  <c r="T32" i="108" s="1"/>
  <c r="R39" i="108"/>
  <c r="R48" i="108"/>
  <c r="T48" i="108" s="1"/>
  <c r="R36" i="108"/>
  <c r="T36" i="108" s="1"/>
  <c r="R38" i="108"/>
  <c r="T38" i="108" s="1"/>
  <c r="R40" i="108"/>
  <c r="T40" i="108" s="1"/>
  <c r="R42" i="108"/>
  <c r="T42" i="108" s="1"/>
  <c r="T43" i="108"/>
  <c r="T37" i="108"/>
  <c r="T39" i="108"/>
  <c r="R44" i="108"/>
  <c r="T44" i="108" s="1"/>
  <c r="R31" i="108"/>
  <c r="T31" i="108" s="1"/>
  <c r="R46" i="108"/>
  <c r="T46" i="108" s="1"/>
  <c r="R49" i="108"/>
  <c r="T49" i="108" s="1"/>
  <c r="R51" i="108"/>
  <c r="T51" i="108" s="1"/>
  <c r="T85" i="108"/>
  <c r="T67" i="108"/>
  <c r="L49" i="106"/>
  <c r="L50" i="106"/>
  <c r="L51" i="106"/>
  <c r="L52" i="106"/>
  <c r="L43" i="106"/>
  <c r="L44" i="106"/>
  <c r="L45" i="106"/>
  <c r="L46" i="106"/>
  <c r="L48" i="106"/>
  <c r="L42" i="106"/>
  <c r="L40" i="106"/>
  <c r="L39" i="106"/>
  <c r="L38" i="106"/>
  <c r="L37" i="106"/>
  <c r="L36" i="106"/>
  <c r="L31" i="106"/>
  <c r="L32" i="106"/>
  <c r="L33" i="106"/>
  <c r="L34" i="106"/>
  <c r="K34" i="106"/>
  <c r="K33" i="106"/>
  <c r="K32" i="106"/>
  <c r="K31" i="106"/>
  <c r="K30" i="106"/>
  <c r="R84" i="107"/>
  <c r="J84" i="107"/>
  <c r="R83" i="107"/>
  <c r="J83" i="107"/>
  <c r="R82" i="107"/>
  <c r="J82" i="107"/>
  <c r="R81" i="107"/>
  <c r="J81" i="107"/>
  <c r="R80" i="107"/>
  <c r="J80" i="107"/>
  <c r="R78" i="107"/>
  <c r="J78" i="107"/>
  <c r="R77" i="107"/>
  <c r="J77" i="107"/>
  <c r="R76" i="107"/>
  <c r="J76" i="107"/>
  <c r="R75" i="107"/>
  <c r="J75" i="107"/>
  <c r="R74" i="107"/>
  <c r="J74" i="107"/>
  <c r="R72" i="107"/>
  <c r="J72" i="107"/>
  <c r="R71" i="107"/>
  <c r="J71" i="107"/>
  <c r="R70" i="107"/>
  <c r="J70" i="107"/>
  <c r="R69" i="107"/>
  <c r="J69" i="107"/>
  <c r="R68" i="107"/>
  <c r="J68" i="107"/>
  <c r="R66" i="107"/>
  <c r="J66" i="107"/>
  <c r="R65" i="107"/>
  <c r="J65" i="107"/>
  <c r="R64" i="107"/>
  <c r="J64" i="107"/>
  <c r="R63" i="107"/>
  <c r="J63" i="107"/>
  <c r="R62" i="107"/>
  <c r="J62" i="107"/>
  <c r="R30" i="107"/>
  <c r="R52" i="107"/>
  <c r="J52" i="107"/>
  <c r="R51" i="107"/>
  <c r="J51" i="107"/>
  <c r="R50" i="107"/>
  <c r="J50" i="107"/>
  <c r="R49" i="107"/>
  <c r="J49" i="107"/>
  <c r="R48" i="107"/>
  <c r="J48" i="107"/>
  <c r="R46" i="107"/>
  <c r="J46" i="107"/>
  <c r="R45" i="107"/>
  <c r="J45" i="107"/>
  <c r="R44" i="107"/>
  <c r="J44" i="107"/>
  <c r="R43" i="107"/>
  <c r="J43" i="107"/>
  <c r="R42" i="107"/>
  <c r="J42" i="107"/>
  <c r="R40" i="107"/>
  <c r="J40" i="107"/>
  <c r="R39" i="107"/>
  <c r="J39" i="107"/>
  <c r="R38" i="107"/>
  <c r="J38" i="107"/>
  <c r="R37" i="107"/>
  <c r="J37" i="107"/>
  <c r="R36" i="107"/>
  <c r="J36" i="107"/>
  <c r="R34" i="107"/>
  <c r="J34" i="107"/>
  <c r="R33" i="107"/>
  <c r="J33" i="107"/>
  <c r="R32" i="107"/>
  <c r="J32" i="107"/>
  <c r="R31" i="107"/>
  <c r="J31" i="107"/>
  <c r="J30" i="107"/>
  <c r="T81" i="107" l="1"/>
  <c r="Y37" i="112"/>
  <c r="Y29" i="112" s="1"/>
  <c r="X29" i="112"/>
  <c r="T82" i="107"/>
  <c r="T83" i="107"/>
  <c r="T69" i="107"/>
  <c r="T76" i="107"/>
  <c r="Z35" i="110"/>
  <c r="Z29" i="110" s="1"/>
  <c r="AA34" i="109"/>
  <c r="AA29" i="109" s="1"/>
  <c r="Z34" i="109"/>
  <c r="Z29" i="109" s="1"/>
  <c r="X34" i="109"/>
  <c r="T35" i="108"/>
  <c r="T53" i="108"/>
  <c r="AA33" i="108" s="1"/>
  <c r="T47" i="108"/>
  <c r="T41" i="108"/>
  <c r="X64" i="108"/>
  <c r="X31" i="108"/>
  <c r="Y64" i="108"/>
  <c r="Y61" i="108" s="1"/>
  <c r="AA64" i="108"/>
  <c r="AA61" i="108" s="1"/>
  <c r="T64" i="107"/>
  <c r="T74" i="107"/>
  <c r="T71" i="107"/>
  <c r="T78" i="107"/>
  <c r="T80" i="107"/>
  <c r="T85" i="107" s="1"/>
  <c r="T84" i="107"/>
  <c r="T63" i="107"/>
  <c r="T65" i="107"/>
  <c r="T70" i="107"/>
  <c r="T72" i="107"/>
  <c r="T75" i="107"/>
  <c r="T77" i="107"/>
  <c r="T66" i="107"/>
  <c r="T68" i="107"/>
  <c r="T62" i="107"/>
  <c r="T32" i="107"/>
  <c r="T44" i="107"/>
  <c r="T49" i="107"/>
  <c r="T31" i="107"/>
  <c r="T33" i="107"/>
  <c r="T36" i="107"/>
  <c r="T38" i="107"/>
  <c r="T46" i="107"/>
  <c r="T50" i="107"/>
  <c r="T51" i="107"/>
  <c r="T34" i="107"/>
  <c r="T37" i="107"/>
  <c r="T45" i="107"/>
  <c r="T48" i="107"/>
  <c r="T30" i="107"/>
  <c r="T40" i="107"/>
  <c r="T43" i="107"/>
  <c r="T39" i="107"/>
  <c r="T42" i="107"/>
  <c r="T52" i="107"/>
  <c r="T79" i="107" l="1"/>
  <c r="AA64" i="107" s="1"/>
  <c r="AA61" i="107" s="1"/>
  <c r="Z33" i="108"/>
  <c r="Y34" i="109"/>
  <c r="Y29" i="109" s="1"/>
  <c r="X29" i="109"/>
  <c r="AA29" i="108"/>
  <c r="X33" i="108"/>
  <c r="X29" i="108" s="1"/>
  <c r="Z29" i="108"/>
  <c r="Z64" i="108"/>
  <c r="Z61" i="108" s="1"/>
  <c r="X61" i="108"/>
  <c r="T73" i="107"/>
  <c r="Y64" i="107" s="1"/>
  <c r="T67" i="107"/>
  <c r="X64" i="107" s="1"/>
  <c r="X61" i="107" s="1"/>
  <c r="T41" i="107"/>
  <c r="T47" i="107"/>
  <c r="T35" i="107"/>
  <c r="T53" i="107"/>
  <c r="Y33" i="108" l="1"/>
  <c r="Y29" i="108" s="1"/>
  <c r="Z64" i="107"/>
  <c r="Z61" i="107" s="1"/>
  <c r="Y61" i="107"/>
  <c r="AA31" i="107"/>
  <c r="AA29" i="107" s="1"/>
  <c r="Z31" i="107"/>
  <c r="Z29" i="107" s="1"/>
  <c r="Y31" i="107"/>
  <c r="X31" i="107" l="1"/>
  <c r="X29" i="107" s="1"/>
  <c r="Y29" i="107"/>
  <c r="R52" i="106" l="1"/>
  <c r="J52" i="106"/>
  <c r="R51" i="106"/>
  <c r="J51" i="106"/>
  <c r="R50" i="106"/>
  <c r="J50" i="106"/>
  <c r="R49" i="106"/>
  <c r="J49" i="106"/>
  <c r="R48" i="106"/>
  <c r="J48" i="106"/>
  <c r="T50" i="106" l="1"/>
  <c r="T52" i="106"/>
  <c r="T48" i="106"/>
  <c r="T51" i="106"/>
  <c r="T49" i="106"/>
  <c r="T53" i="106" l="1"/>
  <c r="R78" i="106"/>
  <c r="J78" i="106"/>
  <c r="R77" i="106"/>
  <c r="J77" i="106"/>
  <c r="R76" i="106"/>
  <c r="J76" i="106"/>
  <c r="R75" i="106"/>
  <c r="J75" i="106"/>
  <c r="R74" i="106"/>
  <c r="J74" i="106"/>
  <c r="R72" i="106"/>
  <c r="J72" i="106"/>
  <c r="R71" i="106"/>
  <c r="J71" i="106"/>
  <c r="R70" i="106"/>
  <c r="J70" i="106"/>
  <c r="R69" i="106"/>
  <c r="J69" i="106"/>
  <c r="R68" i="106"/>
  <c r="J68" i="106"/>
  <c r="R66" i="106"/>
  <c r="J66" i="106"/>
  <c r="R65" i="106"/>
  <c r="J65" i="106"/>
  <c r="R64" i="106"/>
  <c r="J64" i="106"/>
  <c r="R63" i="106"/>
  <c r="J63" i="106"/>
  <c r="R62" i="106"/>
  <c r="J62" i="106"/>
  <c r="R46" i="106"/>
  <c r="J46" i="106"/>
  <c r="R45" i="106"/>
  <c r="J45" i="106"/>
  <c r="R44" i="106"/>
  <c r="J44" i="106"/>
  <c r="R43" i="106"/>
  <c r="J43" i="106"/>
  <c r="R42" i="106"/>
  <c r="J42" i="106"/>
  <c r="R40" i="106"/>
  <c r="J40" i="106"/>
  <c r="R39" i="106"/>
  <c r="J39" i="106"/>
  <c r="R38" i="106"/>
  <c r="J38" i="106"/>
  <c r="R37" i="106"/>
  <c r="J37" i="106"/>
  <c r="R36" i="106"/>
  <c r="J36" i="106"/>
  <c r="R34" i="106"/>
  <c r="J34" i="106"/>
  <c r="R33" i="106"/>
  <c r="J33" i="106"/>
  <c r="R32" i="106"/>
  <c r="J32" i="106"/>
  <c r="R31" i="106"/>
  <c r="J31" i="106"/>
  <c r="R30" i="106"/>
  <c r="J30" i="106"/>
  <c r="T44" i="106" l="1"/>
  <c r="T30" i="106"/>
  <c r="T34" i="106"/>
  <c r="T45" i="106"/>
  <c r="T71" i="106"/>
  <c r="T63" i="106"/>
  <c r="T76" i="106"/>
  <c r="T74" i="106"/>
  <c r="T64" i="106"/>
  <c r="T70" i="106"/>
  <c r="T65" i="106"/>
  <c r="T68" i="106"/>
  <c r="T78" i="106"/>
  <c r="T62" i="106"/>
  <c r="T72" i="106"/>
  <c r="T75" i="106"/>
  <c r="T66" i="106"/>
  <c r="T69" i="106"/>
  <c r="T77" i="106"/>
  <c r="T32" i="106"/>
  <c r="T31" i="106"/>
  <c r="T33" i="106"/>
  <c r="T36" i="106"/>
  <c r="T37" i="106"/>
  <c r="T39" i="106"/>
  <c r="T42" i="106"/>
  <c r="T46" i="106"/>
  <c r="T38" i="106"/>
  <c r="T40" i="106"/>
  <c r="T43" i="106"/>
  <c r="T35" i="106" l="1"/>
  <c r="T67" i="106"/>
  <c r="T73" i="106"/>
  <c r="T79" i="106"/>
  <c r="T41" i="106"/>
  <c r="T47" i="106"/>
  <c r="AA30" i="106" s="1"/>
  <c r="AA29" i="106" s="1"/>
  <c r="Y30" i="106" l="1"/>
  <c r="Y29" i="106" s="1"/>
  <c r="X30" i="106"/>
  <c r="X29" i="106" s="1"/>
  <c r="Z30" i="106" l="1"/>
  <c r="Z29" i="106" s="1"/>
</calcChain>
</file>

<file path=xl/sharedStrings.xml><?xml version="1.0" encoding="utf-8"?>
<sst xmlns="http://schemas.openxmlformats.org/spreadsheetml/2006/main" count="5646" uniqueCount="338">
  <si>
    <t>Total</t>
  </si>
  <si>
    <t>Runs</t>
  </si>
  <si>
    <t>Catch</t>
  </si>
  <si>
    <t>Shami</t>
  </si>
  <si>
    <t>Date</t>
  </si>
  <si>
    <t>Team</t>
  </si>
  <si>
    <t>Player</t>
  </si>
  <si>
    <t>Duck</t>
  </si>
  <si>
    <t>6s</t>
  </si>
  <si>
    <t>Htk W/6</t>
  </si>
  <si>
    <t>Wkts</t>
  </si>
  <si>
    <t>R Out</t>
  </si>
  <si>
    <t>Match No.</t>
  </si>
  <si>
    <t>Mdn</t>
  </si>
  <si>
    <t>Ctchs</t>
  </si>
  <si>
    <t>Ro/Stm</t>
  </si>
  <si>
    <t>500
/ 100</t>
  </si>
  <si>
    <t>Stmp</t>
  </si>
  <si>
    <t>Green</t>
  </si>
  <si>
    <t>Kohli</t>
  </si>
  <si>
    <t>Faf</t>
  </si>
  <si>
    <t>Siraj</t>
  </si>
  <si>
    <t>Harshal</t>
  </si>
  <si>
    <t>Chahar</t>
  </si>
  <si>
    <t>Miller</t>
  </si>
  <si>
    <t>Rahane</t>
  </si>
  <si>
    <t>Noor</t>
  </si>
  <si>
    <t>JSP</t>
  </si>
  <si>
    <t>TDP</t>
  </si>
  <si>
    <t>YCP</t>
  </si>
  <si>
    <t>50-250
100-500</t>
  </si>
  <si>
    <t>3-250
5-500</t>
  </si>
  <si>
    <t>3-100
5-250</t>
  </si>
  <si>
    <t>3-100</t>
  </si>
  <si>
    <t>5-250
10-500</t>
  </si>
  <si>
    <t>Patidar</t>
  </si>
  <si>
    <t>Rachin</t>
  </si>
  <si>
    <t>Marsh</t>
  </si>
  <si>
    <t>Pant</t>
  </si>
  <si>
    <t>Warner</t>
  </si>
  <si>
    <t>Liam</t>
  </si>
  <si>
    <t>Kuldeep</t>
  </si>
  <si>
    <t>Curran</t>
  </si>
  <si>
    <t>Hope</t>
  </si>
  <si>
    <t>Axar</t>
  </si>
  <si>
    <t>Stubbs</t>
  </si>
  <si>
    <t>Salt</t>
  </si>
  <si>
    <t>Starc</t>
  </si>
  <si>
    <t>Pat</t>
  </si>
  <si>
    <t>Narine</t>
  </si>
  <si>
    <t>V Iyer</t>
  </si>
  <si>
    <t>Boult</t>
  </si>
  <si>
    <t>Samson</t>
  </si>
  <si>
    <t>Pooran</t>
  </si>
  <si>
    <t>Bishnoi</t>
  </si>
  <si>
    <t>Tilak</t>
  </si>
  <si>
    <t>Ishan</t>
  </si>
  <si>
    <t>Rohit</t>
  </si>
  <si>
    <t>Mohit</t>
  </si>
  <si>
    <t>Jadeja</t>
  </si>
  <si>
    <t>Head</t>
  </si>
  <si>
    <t>Parag</t>
  </si>
  <si>
    <t>Mukesh</t>
  </si>
  <si>
    <t>Sandeep</t>
  </si>
  <si>
    <t>Russel</t>
  </si>
  <si>
    <t>Jitesh</t>
  </si>
  <si>
    <t>Dube</t>
  </si>
  <si>
    <t>Tim Dvd</t>
  </si>
  <si>
    <t>Ashwin</t>
  </si>
  <si>
    <t>Rinku</t>
  </si>
  <si>
    <t>SKY</t>
  </si>
  <si>
    <t>Porel</t>
  </si>
  <si>
    <t>Ruturaj</t>
  </si>
  <si>
    <t>Abhinav</t>
  </si>
  <si>
    <t>Spencer</t>
  </si>
  <si>
    <t>Will</t>
  </si>
  <si>
    <t>D Kock</t>
  </si>
  <si>
    <t>Khaleel</t>
  </si>
  <si>
    <t>Rana</t>
  </si>
  <si>
    <t>Hooda</t>
  </si>
  <si>
    <t>Tushar</t>
  </si>
  <si>
    <t>JFM</t>
  </si>
  <si>
    <t>Klassn</t>
  </si>
  <si>
    <t>Ashutosh</t>
  </si>
  <si>
    <t>Dubey</t>
  </si>
  <si>
    <t>Harshith</t>
  </si>
  <si>
    <t>Shabaz</t>
  </si>
  <si>
    <t>Lokie</t>
  </si>
  <si>
    <t>Santner</t>
  </si>
  <si>
    <t>Rasikh</t>
  </si>
  <si>
    <t>30-50
50-150
100-250</t>
  </si>
  <si>
    <t>2-50
3-150
5-200</t>
  </si>
  <si>
    <t>3-100
5-200</t>
  </si>
  <si>
    <t>5-150
10-300</t>
  </si>
  <si>
    <t>400
/ 100</t>
  </si>
  <si>
    <t>Clash</t>
  </si>
  <si>
    <t>Mvrcks</t>
  </si>
  <si>
    <t>Sharks</t>
  </si>
  <si>
    <t>Sixers</t>
  </si>
  <si>
    <t>Y Dayal</t>
  </si>
  <si>
    <t>Hzlwd</t>
  </si>
  <si>
    <t>Rghvnshi</t>
  </si>
  <si>
    <t>Suyash</t>
  </si>
  <si>
    <t>Varun Ckr</t>
  </si>
  <si>
    <t>Abshishk</t>
  </si>
  <si>
    <t>NKR</t>
  </si>
  <si>
    <t>Jofra</t>
  </si>
  <si>
    <t>Thksna</t>
  </si>
  <si>
    <t>Jaiswal</t>
  </si>
  <si>
    <t>Jurel</t>
  </si>
  <si>
    <t>Farooqui</t>
  </si>
  <si>
    <t>Rickltn</t>
  </si>
  <si>
    <t>Ellis</t>
  </si>
  <si>
    <t>Raju</t>
  </si>
  <si>
    <t>Will Jcks</t>
  </si>
  <si>
    <t>Tripathi</t>
  </si>
  <si>
    <t>Mrkrm</t>
  </si>
  <si>
    <t>Shardul</t>
  </si>
  <si>
    <t>Ayush</t>
  </si>
  <si>
    <t>Nigam</t>
  </si>
  <si>
    <t>Gill</t>
  </si>
  <si>
    <t>Sudrshn</t>
  </si>
  <si>
    <t>Rabada</t>
  </si>
  <si>
    <t>Jansen</t>
  </si>
  <si>
    <t>Shashnk</t>
  </si>
  <si>
    <t>Buttler</t>
  </si>
  <si>
    <t>Stoinis</t>
  </si>
  <si>
    <t>Chahal</t>
  </si>
  <si>
    <t>Omarzai</t>
  </si>
  <si>
    <t>Iyer</t>
  </si>
  <si>
    <t>Maxwell</t>
  </si>
  <si>
    <t>Arshdp</t>
  </si>
  <si>
    <t>Prasidh</t>
  </si>
  <si>
    <t>Philips</t>
  </si>
  <si>
    <t>Simran</t>
  </si>
  <si>
    <t>Rashid</t>
  </si>
  <si>
    <t>Arya</t>
  </si>
  <si>
    <t>SRK</t>
  </si>
  <si>
    <t>S Kishore</t>
  </si>
  <si>
    <t>Hsrnga</t>
  </si>
  <si>
    <t>Harshit</t>
  </si>
  <si>
    <t>Archer</t>
  </si>
  <si>
    <t>M Ali</t>
  </si>
  <si>
    <t>Angkrish</t>
  </si>
  <si>
    <t>Russell</t>
  </si>
  <si>
    <t>Varun</t>
  </si>
  <si>
    <t>Thekshna</t>
  </si>
  <si>
    <t>Abhi</t>
  </si>
  <si>
    <t>Avesh</t>
  </si>
  <si>
    <t>Smrjth</t>
  </si>
  <si>
    <t>Kishan</t>
  </si>
  <si>
    <t>Markrm</t>
  </si>
  <si>
    <t>Samaad</t>
  </si>
  <si>
    <t>Nitish</t>
  </si>
  <si>
    <t>Zampa</t>
  </si>
  <si>
    <t>Klsassn</t>
  </si>
  <si>
    <t>Cummins</t>
  </si>
  <si>
    <t>Aniket</t>
  </si>
  <si>
    <t>Josh</t>
  </si>
  <si>
    <t>Tim</t>
  </si>
  <si>
    <t>Padikkal</t>
  </si>
  <si>
    <t>Pathirana</t>
  </si>
  <si>
    <t>Bhuvi</t>
  </si>
  <si>
    <t>Virat</t>
  </si>
  <si>
    <t>Pandya</t>
  </si>
  <si>
    <t>Cycle 1</t>
  </si>
  <si>
    <t>Hardik</t>
  </si>
  <si>
    <t>Jos</t>
  </si>
  <si>
    <t>Mujeeb</t>
  </si>
  <si>
    <t>Sharuk</t>
  </si>
  <si>
    <t>S sdrshn</t>
  </si>
  <si>
    <t>Rutherfrd</t>
  </si>
  <si>
    <t>Sai kshr</t>
  </si>
  <si>
    <t>Naman</t>
  </si>
  <si>
    <t xml:space="preserve">Mukesh </t>
  </si>
  <si>
    <t>Vipraj</t>
  </si>
  <si>
    <t>KLR</t>
  </si>
  <si>
    <t>Klasn</t>
  </si>
  <si>
    <t>Thkshna</t>
  </si>
  <si>
    <t>Hetmyr</t>
  </si>
  <si>
    <t>SSV</t>
  </si>
  <si>
    <t>Pthrna</t>
  </si>
  <si>
    <t xml:space="preserve">Tripathi </t>
  </si>
  <si>
    <t>Rchn Rvn</t>
  </si>
  <si>
    <t>Overton</t>
  </si>
  <si>
    <t>V iyer</t>
  </si>
  <si>
    <t xml:space="preserve">W jacks </t>
  </si>
  <si>
    <t>Aswani</t>
  </si>
  <si>
    <t>Puthur</t>
  </si>
  <si>
    <t>QDK</t>
  </si>
  <si>
    <t>VC</t>
  </si>
  <si>
    <t>Lockie</t>
  </si>
  <si>
    <t>Shegde</t>
  </si>
  <si>
    <t>Mitch Mr</t>
  </si>
  <si>
    <t>Digvesh</t>
  </si>
  <si>
    <t xml:space="preserve">Prasidh </t>
  </si>
  <si>
    <t>Rthrfd</t>
  </si>
  <si>
    <t>Arshad</t>
  </si>
  <si>
    <t>Sai sdrshn</t>
  </si>
  <si>
    <t xml:space="preserve">Buttler </t>
  </si>
  <si>
    <t>Yash</t>
  </si>
  <si>
    <t>Kishore</t>
  </si>
  <si>
    <t>Sharukh</t>
  </si>
  <si>
    <t>D kock</t>
  </si>
  <si>
    <t>Klsn</t>
  </si>
  <si>
    <t>Raghu</t>
  </si>
  <si>
    <t>Kamindu</t>
  </si>
  <si>
    <t>Ali</t>
  </si>
  <si>
    <t>Zeeshan</t>
  </si>
  <si>
    <t xml:space="preserve">V Iyer </t>
  </si>
  <si>
    <t>Cycle 2</t>
  </si>
  <si>
    <t>MTR</t>
  </si>
  <si>
    <t>Rathi</t>
  </si>
  <si>
    <t>Badoni</t>
  </si>
  <si>
    <t>Ashwani</t>
  </si>
  <si>
    <t>Akash Dp</t>
  </si>
  <si>
    <t>2-50
3-150
5-250</t>
  </si>
  <si>
    <t>Conway</t>
  </si>
  <si>
    <t>Pthrana</t>
  </si>
  <si>
    <t>Rizvi</t>
  </si>
  <si>
    <t>McGurk</t>
  </si>
  <si>
    <t>Muksh C</t>
  </si>
  <si>
    <t>Rutu</t>
  </si>
  <si>
    <t>Ashutsh</t>
  </si>
  <si>
    <t>S Iyer</t>
  </si>
  <si>
    <t>Nehal</t>
  </si>
  <si>
    <t>Maxwel</t>
  </si>
  <si>
    <t>Priyansh</t>
  </si>
  <si>
    <t xml:space="preserve">Shshank </t>
  </si>
  <si>
    <t>Abhishk</t>
  </si>
  <si>
    <t>Sundar</t>
  </si>
  <si>
    <t>Sai sdrsn</t>
  </si>
  <si>
    <t>Sai Kishr</t>
  </si>
  <si>
    <t>Ruthfrd</t>
  </si>
  <si>
    <t>Jaydev</t>
  </si>
  <si>
    <t>Score</t>
  </si>
  <si>
    <t>Cycle 3</t>
  </si>
  <si>
    <t>Jacks</t>
  </si>
  <si>
    <t>Ryan</t>
  </si>
  <si>
    <t>Dhir</t>
  </si>
  <si>
    <t>Bumrah</t>
  </si>
  <si>
    <t>Krunal</t>
  </si>
  <si>
    <t>Dayal</t>
  </si>
  <si>
    <t>Angkrsh</t>
  </si>
  <si>
    <t>Arora</t>
  </si>
  <si>
    <t>D cock</t>
  </si>
  <si>
    <t>Vijay S</t>
  </si>
  <si>
    <t>Arsdp</t>
  </si>
  <si>
    <t>Coney</t>
  </si>
  <si>
    <t>Maxi</t>
  </si>
  <si>
    <t>Marco</t>
  </si>
  <si>
    <t>Jos Butlr</t>
  </si>
  <si>
    <t>Sai Kis</t>
  </si>
  <si>
    <t>Sai Sdrsn</t>
  </si>
  <si>
    <t>Parsidh</t>
  </si>
  <si>
    <t>Rthfrd</t>
  </si>
  <si>
    <t>KL</t>
  </si>
  <si>
    <t xml:space="preserve">Krunal </t>
  </si>
  <si>
    <t/>
  </si>
  <si>
    <t>Sunil</t>
  </si>
  <si>
    <t>3Pathi</t>
  </si>
  <si>
    <t>Dhoni</t>
  </si>
  <si>
    <t>Butler</t>
  </si>
  <si>
    <t>Rthrfrd</t>
  </si>
  <si>
    <t>Sai kishre</t>
  </si>
  <si>
    <t>Himmat</t>
  </si>
  <si>
    <t>Akash</t>
  </si>
  <si>
    <t xml:space="preserve">Harshal </t>
  </si>
  <si>
    <t>Klassen</t>
  </si>
  <si>
    <t>S iyer</t>
  </si>
  <si>
    <t>Hasranga</t>
  </si>
  <si>
    <t>Rckltn</t>
  </si>
  <si>
    <t>Cycle 4</t>
  </si>
  <si>
    <t>3Pati</t>
  </si>
  <si>
    <t>V shankr</t>
  </si>
  <si>
    <t>Anshul</t>
  </si>
  <si>
    <t>Rasheed</t>
  </si>
  <si>
    <t>Shashank</t>
  </si>
  <si>
    <t>Inglis</t>
  </si>
  <si>
    <t>Xavier</t>
  </si>
  <si>
    <t>Nortje</t>
  </si>
  <si>
    <t>Karun</t>
  </si>
  <si>
    <t>Hasrnga</t>
  </si>
  <si>
    <t>thkshna</t>
  </si>
  <si>
    <t>Cycle 5</t>
  </si>
  <si>
    <t>Avngrs</t>
  </si>
  <si>
    <t>Sai Kshre</t>
  </si>
  <si>
    <t>Ashtsh</t>
  </si>
  <si>
    <t>S Sdrshn</t>
  </si>
  <si>
    <t>Bttler</t>
  </si>
  <si>
    <t>Prince</t>
  </si>
  <si>
    <t>Mayank</t>
  </si>
  <si>
    <t>Shubam</t>
  </si>
  <si>
    <t>Vaibhav</t>
  </si>
  <si>
    <t>Romario</t>
  </si>
  <si>
    <t>MSD</t>
  </si>
  <si>
    <t>Mahtre</t>
  </si>
  <si>
    <t>Gurbaz</t>
  </si>
  <si>
    <t>Sa Kish</t>
  </si>
  <si>
    <t>Rford</t>
  </si>
  <si>
    <t>Sai Sudh</t>
  </si>
  <si>
    <t>Prasid</t>
  </si>
  <si>
    <t>h</t>
  </si>
  <si>
    <t>Markram</t>
  </si>
  <si>
    <t>Chamera</t>
  </si>
  <si>
    <t>D Chahar</t>
  </si>
  <si>
    <t>W jacks</t>
  </si>
  <si>
    <t>Ansari</t>
  </si>
  <si>
    <t>Cycle 6</t>
  </si>
  <si>
    <t>Farooqi</t>
  </si>
  <si>
    <t xml:space="preserve">Yashaswi </t>
  </si>
  <si>
    <t>Hasarnga</t>
  </si>
  <si>
    <t>24/04/2025</t>
  </si>
  <si>
    <t>Shreyas</t>
  </si>
  <si>
    <t>Aarya</t>
  </si>
  <si>
    <t xml:space="preserve"> Harshit</t>
  </si>
  <si>
    <t>W Jacks</t>
  </si>
  <si>
    <t>Karn</t>
  </si>
  <si>
    <t>Bosch</t>
  </si>
  <si>
    <t>Mrkram</t>
  </si>
  <si>
    <t>Bethel</t>
  </si>
  <si>
    <t>Hzwd</t>
  </si>
  <si>
    <t>Kuldp</t>
  </si>
  <si>
    <t>K Nair</t>
  </si>
  <si>
    <t>Padikl</t>
  </si>
  <si>
    <t>Karim</t>
  </si>
  <si>
    <t>S kishre</t>
  </si>
  <si>
    <t>Yudhvir</t>
  </si>
  <si>
    <t>Anukul</t>
  </si>
  <si>
    <t xml:space="preserve"> n </t>
  </si>
  <si>
    <t>Brevis</t>
  </si>
  <si>
    <t>Mhatre</t>
  </si>
  <si>
    <t>Brar</t>
  </si>
  <si>
    <t>Vaibhv</t>
  </si>
  <si>
    <t>Htmyr</t>
  </si>
  <si>
    <t>Cycle 7</t>
  </si>
  <si>
    <t>Urvil</t>
  </si>
  <si>
    <t>M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</si>
</sst>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6F8C"/>
      <color rgb="FFEFFCA0"/>
      <color rgb="FFF8BD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79"/>
  <sheetViews>
    <sheetView zoomScale="88" zoomScaleNormal="88" workbookViewId="0">
      <selection activeCell="L30" sqref="L30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6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</row>
    <row r="29" spans="2:27" ht="42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6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-875</v>
      </c>
      <c r="Y29" s="42">
        <f>SUM(Y30:Y37)</f>
        <v>-175</v>
      </c>
      <c r="Z29" s="42">
        <f>SUM(Z30:Z37)</f>
        <v>2065</v>
      </c>
      <c r="AA29" s="42">
        <f>SUM(AA30:AA37)</f>
        <v>-1015</v>
      </c>
    </row>
    <row r="30" spans="2:27" x14ac:dyDescent="0.3">
      <c r="B30" s="66" t="s">
        <v>95</v>
      </c>
      <c r="C30" s="38" t="s">
        <v>76</v>
      </c>
      <c r="D30" s="5">
        <v>4</v>
      </c>
      <c r="E30" s="6"/>
      <c r="F30" s="6"/>
      <c r="G30" s="6"/>
      <c r="H30" s="6"/>
      <c r="I30" s="6"/>
      <c r="J30" s="7">
        <f>(D30*D$60)+(E30*E$60)+(F30*F$60)+(G30*G$60)+(H30*H$60)+(I30*I$60)</f>
        <v>20</v>
      </c>
      <c r="K30" s="15" t="str">
        <f>IF(D30&gt;=100, 250, IF(D30&gt;=50, 150, IF(D30&gt;=30, 50, "")))</f>
        <v/>
      </c>
      <c r="L30" s="15" t="s">
        <v>302</v>
      </c>
      <c r="M30" s="15"/>
      <c r="N30" s="15"/>
      <c r="O30" s="15"/>
      <c r="P30" s="16"/>
      <c r="Q30" s="16"/>
      <c r="R30" s="17">
        <f>SUM(K30:Q30)</f>
        <v>0</v>
      </c>
      <c r="T30" s="14">
        <f>(R30+J30)*2</f>
        <v>40</v>
      </c>
      <c r="V30" s="28">
        <v>1</v>
      </c>
      <c r="W30" s="29">
        <v>45738</v>
      </c>
      <c r="X30" s="28">
        <f>T35-T47</f>
        <v>-875</v>
      </c>
      <c r="Y30" s="28">
        <f>T41-T47</f>
        <v>-175</v>
      </c>
      <c r="Z30" s="28">
        <f>-(AA30+Y30+X30)</f>
        <v>2065</v>
      </c>
      <c r="AA30" s="28">
        <f>T53-T47</f>
        <v>-1015</v>
      </c>
    </row>
    <row r="31" spans="2:27" x14ac:dyDescent="0.3">
      <c r="B31" s="67"/>
      <c r="C31" s="4" t="s">
        <v>49</v>
      </c>
      <c r="D31" s="18">
        <v>44</v>
      </c>
      <c r="E31" s="1">
        <v>1</v>
      </c>
      <c r="F31" s="1"/>
      <c r="G31" s="1"/>
      <c r="H31" s="1"/>
      <c r="I31" s="1"/>
      <c r="J31" s="19">
        <f>(D31*D$60)+(E31*E$60)+(F31*F$60)+(G31*G$60)+(H31*H$60)+(I31*I$60)</f>
        <v>320</v>
      </c>
      <c r="K31" s="15">
        <f>IF(D31&gt;=100, 250, IF(D31&gt;=50, 150, IF(D31&gt;=30, 50, "")))</f>
        <v>50</v>
      </c>
      <c r="L31" s="20" t="str">
        <f t="shared" ref="L31:L46" si="0">IF(E31=5, 200, IF(E31=3, 150, IF(E31=2, 50, "")))</f>
        <v/>
      </c>
      <c r="M31" s="20"/>
      <c r="N31" s="20"/>
      <c r="O31" s="20"/>
      <c r="P31" s="1"/>
      <c r="Q31" s="1"/>
      <c r="R31" s="17">
        <f>SUM(K31:Q31)</f>
        <v>50</v>
      </c>
      <c r="T31" s="14">
        <f>R31+J31</f>
        <v>370</v>
      </c>
      <c r="V31" s="28">
        <v>2</v>
      </c>
      <c r="W31" s="29"/>
      <c r="X31" s="28"/>
      <c r="Y31" s="28"/>
      <c r="Z31" s="28"/>
      <c r="AA31" s="28"/>
    </row>
    <row r="32" spans="2:27" x14ac:dyDescent="0.3">
      <c r="B32" s="67"/>
      <c r="C32" s="4" t="s">
        <v>35</v>
      </c>
      <c r="D32" s="18">
        <v>34</v>
      </c>
      <c r="E32" s="1"/>
      <c r="F32" s="1"/>
      <c r="G32" s="1"/>
      <c r="H32" s="1"/>
      <c r="I32" s="1"/>
      <c r="J32" s="19">
        <f>(D32*D$60)+(E32*E$60)+(F32*F$60)+(G32*G$60)+(H32*H$60)+(I32*I$60)</f>
        <v>170</v>
      </c>
      <c r="K32" s="15">
        <f>IF(D32&gt;=100, 250, IF(D32&gt;=50, 150, IF(D32&gt;=30, 50, "")))</f>
        <v>50</v>
      </c>
      <c r="L32" s="20" t="str">
        <f t="shared" si="0"/>
        <v/>
      </c>
      <c r="M32" s="20"/>
      <c r="N32" s="20"/>
      <c r="O32" s="20"/>
      <c r="P32" s="1"/>
      <c r="Q32" s="1"/>
      <c r="R32" s="17">
        <f>SUM(K32:Q32)</f>
        <v>50</v>
      </c>
      <c r="T32" s="14">
        <f>R32+J32</f>
        <v>220</v>
      </c>
      <c r="V32" s="28">
        <v>3</v>
      </c>
      <c r="W32" s="29"/>
      <c r="X32" s="28"/>
      <c r="Y32" s="28"/>
      <c r="Z32" s="28"/>
      <c r="AA32" s="28"/>
    </row>
    <row r="33" spans="2:27" x14ac:dyDescent="0.3">
      <c r="B33" s="67"/>
      <c r="C33" s="4" t="s">
        <v>99</v>
      </c>
      <c r="D33" s="18"/>
      <c r="E33" s="1">
        <v>1</v>
      </c>
      <c r="F33" s="1"/>
      <c r="G33" s="1"/>
      <c r="H33" s="1"/>
      <c r="I33" s="1"/>
      <c r="J33" s="19">
        <f>(D33*D$60)+(E33*E$60)+(F33*F$60)+(G33*G$60)+(H33*H$60)+(I33*I$60)</f>
        <v>100</v>
      </c>
      <c r="K33" s="15" t="str">
        <f>IF(D33&gt;=100, 250, IF(D33&gt;=50, 150, IF(D33&gt;=30, 50, "")))</f>
        <v/>
      </c>
      <c r="L33" s="20" t="str">
        <f t="shared" si="0"/>
        <v/>
      </c>
      <c r="M33" s="20"/>
      <c r="N33" s="20"/>
      <c r="O33" s="20"/>
      <c r="P33" s="1"/>
      <c r="Q33" s="1"/>
      <c r="R33" s="17">
        <f>SUM(K33:Q33)</f>
        <v>0</v>
      </c>
      <c r="T33" s="14">
        <f>R33+J33</f>
        <v>100</v>
      </c>
      <c r="V33" s="28">
        <v>4</v>
      </c>
      <c r="W33" s="29"/>
      <c r="X33" s="28"/>
      <c r="Y33" s="28"/>
      <c r="Z33" s="28"/>
      <c r="AA33" s="28"/>
    </row>
    <row r="34" spans="2:27" ht="15" thickBot="1" x14ac:dyDescent="0.35">
      <c r="B34" s="68"/>
      <c r="C34" s="21" t="s">
        <v>67</v>
      </c>
      <c r="D34" s="9"/>
      <c r="E34" s="10"/>
      <c r="F34" s="10"/>
      <c r="G34" s="10"/>
      <c r="H34" s="10"/>
      <c r="I34" s="10"/>
      <c r="J34" s="11">
        <f>(D34*D$60)+(E34*E$60)+(F34*F$60)+(G34*G$60)+(H34*H$60)+(I34*I$60)</f>
        <v>0</v>
      </c>
      <c r="K34" s="12" t="str">
        <f>IF(D34&gt;=100, 250, IF(D34&gt;=50, 150, IF(D34&gt;=30, 50, "")))</f>
        <v/>
      </c>
      <c r="L34" s="12" t="str">
        <f t="shared" si="0"/>
        <v/>
      </c>
      <c r="M34" s="12"/>
      <c r="N34" s="12"/>
      <c r="O34" s="12"/>
      <c r="P34" s="10"/>
      <c r="Q34" s="10"/>
      <c r="R34" s="13">
        <f>SUM(K34:Q34)</f>
        <v>0</v>
      </c>
      <c r="T34" s="22">
        <f>(R34+J34)</f>
        <v>0</v>
      </c>
      <c r="V34" s="28">
        <v>5</v>
      </c>
      <c r="W34" s="29"/>
      <c r="X34" s="28"/>
      <c r="Y34" s="28"/>
      <c r="Z34" s="28"/>
      <c r="AA34" s="28"/>
    </row>
    <row r="35" spans="2:27" ht="15" thickBot="1" x14ac:dyDescent="0.35">
      <c r="T35" s="37">
        <f>SUM(T30:T34)</f>
        <v>730</v>
      </c>
      <c r="V35" s="28">
        <v>6</v>
      </c>
      <c r="W35" s="29"/>
      <c r="X35" s="28"/>
      <c r="Y35" s="28"/>
      <c r="Z35" s="28"/>
      <c r="AA35" s="28"/>
    </row>
    <row r="36" spans="2:27" x14ac:dyDescent="0.3">
      <c r="B36" s="66" t="s">
        <v>96</v>
      </c>
      <c r="C36" s="39" t="s">
        <v>46</v>
      </c>
      <c r="D36" s="23">
        <v>56</v>
      </c>
      <c r="E36" s="6"/>
      <c r="F36" s="6"/>
      <c r="G36" s="6"/>
      <c r="H36" s="6"/>
      <c r="I36" s="6"/>
      <c r="J36" s="7">
        <f>(D36*D$60)+(E36*E$60)+(F36*F$60)+(G36*G$60)+(H36*H$60)+(I36*I$60)</f>
        <v>280</v>
      </c>
      <c r="K36" s="5">
        <v>150</v>
      </c>
      <c r="L36" s="23" t="str">
        <f t="shared" si="0"/>
        <v/>
      </c>
      <c r="M36" s="23"/>
      <c r="N36" s="23"/>
      <c r="O36" s="23"/>
      <c r="P36" s="6"/>
      <c r="Q36" s="6"/>
      <c r="R36" s="24">
        <f>SUM(K36:Q36)</f>
        <v>150</v>
      </c>
      <c r="T36" s="33">
        <f>(R36+J36)*2</f>
        <v>860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64</v>
      </c>
      <c r="D37" s="20">
        <v>4</v>
      </c>
      <c r="E37" s="1"/>
      <c r="F37" s="1"/>
      <c r="G37" s="1"/>
      <c r="H37" s="1"/>
      <c r="I37" s="1"/>
      <c r="J37" s="19">
        <f>(D37*D$60)+(E37*E$60)+(F37*F$60)+(G37*G$60)+(H37*H$60)+(I37*I$60)</f>
        <v>20</v>
      </c>
      <c r="K37" s="18"/>
      <c r="L37" s="20" t="str">
        <f t="shared" si="0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20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100</v>
      </c>
      <c r="D38" s="20"/>
      <c r="E38" s="1">
        <v>2</v>
      </c>
      <c r="F38" s="1"/>
      <c r="G38" s="1"/>
      <c r="H38" s="1"/>
      <c r="I38" s="1"/>
      <c r="J38" s="19">
        <f>(D38*D$60)+(E38*E$60)+(F38*F$60)+(G38*G$60)+(H38*H$60)+(I38*I$60)</f>
        <v>200</v>
      </c>
      <c r="K38" s="18"/>
      <c r="L38" s="20">
        <f t="shared" si="0"/>
        <v>50</v>
      </c>
      <c r="M38" s="20"/>
      <c r="N38" s="20"/>
      <c r="O38" s="20"/>
      <c r="P38" s="1"/>
      <c r="Q38" s="1"/>
      <c r="R38" s="17">
        <f>SUM(K38:Q38)</f>
        <v>50</v>
      </c>
      <c r="T38" s="14">
        <f>R38+J38</f>
        <v>250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101</v>
      </c>
      <c r="D39" s="20">
        <v>30</v>
      </c>
      <c r="E39" s="1"/>
      <c r="F39" s="1"/>
      <c r="G39" s="1"/>
      <c r="H39" s="1"/>
      <c r="I39" s="1"/>
      <c r="J39" s="19">
        <f>(D39*D$60)+(E39*E$60)+(F39*F$60)+(G39*G$60)+(H39*H$60)+(I39*I$60)</f>
        <v>150</v>
      </c>
      <c r="K39" s="18">
        <v>50</v>
      </c>
      <c r="L39" s="20" t="str">
        <f t="shared" si="0"/>
        <v/>
      </c>
      <c r="M39" s="20"/>
      <c r="N39" s="20"/>
      <c r="O39" s="20"/>
      <c r="P39" s="1"/>
      <c r="Q39" s="1"/>
      <c r="R39" s="17">
        <f>SUM(K39:Q39)</f>
        <v>50</v>
      </c>
      <c r="T39" s="14">
        <f>R39+J39</f>
        <v>200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102</v>
      </c>
      <c r="D40" s="12"/>
      <c r="E40" s="10">
        <v>1</v>
      </c>
      <c r="F40" s="10"/>
      <c r="G40" s="10"/>
      <c r="H40" s="10"/>
      <c r="I40" s="10"/>
      <c r="J40" s="11">
        <f>(D40*D$60)+(E40*E$60)+(F40*F$60)+(G40*G$60)+(H40*H$60)+(I40*I$60)</f>
        <v>100</v>
      </c>
      <c r="K40" s="9"/>
      <c r="L40" s="12" t="str">
        <f t="shared" si="0"/>
        <v/>
      </c>
      <c r="M40" s="12"/>
      <c r="N40" s="12"/>
      <c r="O40" s="12"/>
      <c r="P40" s="10"/>
      <c r="Q40" s="10"/>
      <c r="R40" s="13">
        <f>SUM(K40:Q40)</f>
        <v>0</v>
      </c>
      <c r="T40" s="34">
        <f>R40+J40</f>
        <v>100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1430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19</v>
      </c>
      <c r="D42" s="23">
        <v>59</v>
      </c>
      <c r="E42" s="6"/>
      <c r="F42" s="6"/>
      <c r="G42" s="6"/>
      <c r="H42" s="6"/>
      <c r="I42" s="6"/>
      <c r="J42" s="7">
        <f>(D42*D$60)+(E42*E$60)+(F42*F$60)+(G42*G$60)+(H42*H$60)+(I42*I$60)</f>
        <v>295</v>
      </c>
      <c r="K42" s="5">
        <v>150</v>
      </c>
      <c r="L42" s="23" t="str">
        <f t="shared" si="0"/>
        <v/>
      </c>
      <c r="M42" s="23"/>
      <c r="N42" s="23"/>
      <c r="O42" s="23"/>
      <c r="P42" s="6"/>
      <c r="Q42" s="6"/>
      <c r="R42" s="24">
        <f>SUM(K42:Q42)</f>
        <v>150</v>
      </c>
      <c r="T42" s="33">
        <f>(R42+J42)*2</f>
        <v>890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25</v>
      </c>
      <c r="D43" s="20">
        <v>56</v>
      </c>
      <c r="E43" s="1"/>
      <c r="F43" s="1"/>
      <c r="G43" s="1"/>
      <c r="H43" s="1"/>
      <c r="I43" s="1"/>
      <c r="J43" s="19">
        <f>(D43*D$60)+(E43*E$60)+(F43*F$60)+(G43*G$60)+(H43*H$60)+(I43*I$60)</f>
        <v>280</v>
      </c>
      <c r="K43" s="18">
        <v>150</v>
      </c>
      <c r="L43" s="20" t="str">
        <f t="shared" si="0"/>
        <v/>
      </c>
      <c r="M43" s="20"/>
      <c r="N43" s="20"/>
      <c r="O43" s="20"/>
      <c r="P43" s="1"/>
      <c r="Q43" s="1"/>
      <c r="R43" s="17">
        <f>SUM(K43:Q43)</f>
        <v>150</v>
      </c>
      <c r="T43" s="14">
        <f>R43+J43</f>
        <v>430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69</v>
      </c>
      <c r="D44" s="20">
        <v>12</v>
      </c>
      <c r="E44" s="1"/>
      <c r="F44" s="1"/>
      <c r="G44" s="1"/>
      <c r="H44" s="1">
        <v>1</v>
      </c>
      <c r="I44" s="1"/>
      <c r="J44" s="19">
        <f>(D44*D$60)+(E44*E$60)+(F44*F$60)+(G44*G$60)+(H44*H$60)+(I44*I$60)</f>
        <v>110</v>
      </c>
      <c r="K44" s="18"/>
      <c r="L44" s="20" t="str">
        <f t="shared" si="0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110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85</v>
      </c>
      <c r="D45" s="20">
        <v>5</v>
      </c>
      <c r="E45" s="1"/>
      <c r="F45" s="1"/>
      <c r="G45" s="1"/>
      <c r="H45" s="1"/>
      <c r="I45" s="1"/>
      <c r="J45" s="19">
        <f>(D45*D$60)+(E45*E$60)+(F45*F$60)+(G45*G$60)+(H45*H$60)+(I45*I$60)</f>
        <v>25</v>
      </c>
      <c r="K45" s="18"/>
      <c r="L45" s="20" t="str">
        <f t="shared" si="0"/>
        <v/>
      </c>
      <c r="M45" s="20"/>
      <c r="N45" s="20"/>
      <c r="O45" s="20"/>
      <c r="P45" s="1"/>
      <c r="Q45" s="1"/>
      <c r="R45" s="17">
        <f>SUM(K45:Q45)</f>
        <v>0</v>
      </c>
      <c r="T45" s="14">
        <f>R45+J45</f>
        <v>25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89</v>
      </c>
      <c r="D46" s="12"/>
      <c r="E46" s="10">
        <v>1</v>
      </c>
      <c r="F46" s="10"/>
      <c r="G46" s="10"/>
      <c r="H46" s="10">
        <v>1</v>
      </c>
      <c r="I46" s="10"/>
      <c r="J46" s="11">
        <f>(D46*D$60)+(E46*E$60)+(F46*F$60)+(G46*G$60)+(H46*H$60)+(I46*I$60)</f>
        <v>150</v>
      </c>
      <c r="K46" s="9"/>
      <c r="L46" s="12" t="str">
        <f t="shared" si="0"/>
        <v/>
      </c>
      <c r="M46" s="12"/>
      <c r="N46" s="12"/>
      <c r="O46" s="12"/>
      <c r="P46" s="10"/>
      <c r="Q46" s="10"/>
      <c r="R46" s="13">
        <f>SUM(K46:Q46)</f>
        <v>0</v>
      </c>
      <c r="T46" s="34">
        <f>R46+J46</f>
        <v>150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1605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50</v>
      </c>
      <c r="D48" s="23">
        <v>6</v>
      </c>
      <c r="E48" s="6"/>
      <c r="F48" s="6"/>
      <c r="G48" s="6"/>
      <c r="H48" s="6"/>
      <c r="I48" s="6"/>
      <c r="J48" s="7">
        <f>(D48*D$60)+(E48*E$60)+(F48*F$60)+(G48*G$60)+(H48*H$60)+(I48*I$60)</f>
        <v>30</v>
      </c>
      <c r="K48" s="5"/>
      <c r="L48" s="23" t="str">
        <f>IF(E48=5, 200, IF(E48=3, 150, IF(E48=2, 50, "")))</f>
        <v/>
      </c>
      <c r="M48" s="23"/>
      <c r="N48" s="23"/>
      <c r="O48" s="23"/>
      <c r="P48" s="6"/>
      <c r="Q48" s="6"/>
      <c r="R48" s="24">
        <f>SUM(K48:Q48)</f>
        <v>0</v>
      </c>
      <c r="T48" s="33">
        <f>(R48+J48)*2</f>
        <v>60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40</v>
      </c>
      <c r="D49" s="20">
        <v>15</v>
      </c>
      <c r="E49" s="1"/>
      <c r="F49" s="1"/>
      <c r="G49" s="1"/>
      <c r="H49" s="1"/>
      <c r="I49" s="1"/>
      <c r="J49" s="19">
        <f>(D49*D$60)+(E49*E$60)+(F49*F$60)+(G49*G$60)+(H49*H$60)+(I49*I$60)</f>
        <v>75</v>
      </c>
      <c r="K49" s="18"/>
      <c r="L49" s="20" t="str">
        <f>IF(E49=5, 200, IF(E49=3, 150, IF(E49=2, 50, "")))</f>
        <v/>
      </c>
      <c r="M49" s="20"/>
      <c r="N49" s="20"/>
      <c r="O49" s="20"/>
      <c r="P49" s="1"/>
      <c r="Q49" s="1"/>
      <c r="R49" s="17">
        <f>SUM(K49:Q49)</f>
        <v>0</v>
      </c>
      <c r="T49" s="14">
        <f>R49+J49</f>
        <v>75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103</v>
      </c>
      <c r="D50" s="20"/>
      <c r="E50" s="1">
        <v>1</v>
      </c>
      <c r="F50" s="1"/>
      <c r="G50" s="1"/>
      <c r="H50" s="1"/>
      <c r="I50" s="1"/>
      <c r="J50" s="19">
        <f>(D50*D$60)+(E50*E$60)+(F50*F$60)+(G50*G$60)+(H50*H$60)+(I50*I$60)</f>
        <v>100</v>
      </c>
      <c r="K50" s="18"/>
      <c r="L50" s="20" t="str">
        <f>IF(E50=5, 200, IF(E50=3, 150, IF(E50=2, 50, "")))</f>
        <v/>
      </c>
      <c r="M50" s="20"/>
      <c r="N50" s="20"/>
      <c r="O50" s="20"/>
      <c r="P50" s="1"/>
      <c r="Q50" s="1"/>
      <c r="R50" s="17">
        <f>SUM(K50:Q50)</f>
        <v>0</v>
      </c>
      <c r="T50" s="14">
        <f>R50+J50</f>
        <v>100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74</v>
      </c>
      <c r="D51" s="20">
        <v>1</v>
      </c>
      <c r="E51" s="1"/>
      <c r="F51" s="1"/>
      <c r="G51" s="1"/>
      <c r="H51" s="1">
        <v>1</v>
      </c>
      <c r="I51" s="1"/>
      <c r="J51" s="19">
        <f>(D51*D$60)+(E51*E$60)+(F51*F$60)+(G51*G$60)+(H51*H$60)+(I51*I$60)</f>
        <v>55</v>
      </c>
      <c r="K51" s="18"/>
      <c r="L51" s="20" t="str">
        <f>IF(E51=5, 200, IF(E51=3, 150, IF(E51=2, 50, "")))</f>
        <v/>
      </c>
      <c r="M51" s="20"/>
      <c r="N51" s="20"/>
      <c r="O51" s="20"/>
      <c r="P51" s="1"/>
      <c r="Q51" s="1"/>
      <c r="R51" s="17">
        <f>SUM(K51:Q51)</f>
        <v>0</v>
      </c>
      <c r="T51" s="14">
        <f>R51+J51</f>
        <v>55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65</v>
      </c>
      <c r="D52" s="12"/>
      <c r="E52" s="10"/>
      <c r="F52" s="10"/>
      <c r="G52" s="10"/>
      <c r="H52" s="10">
        <v>4</v>
      </c>
      <c r="I52" s="10"/>
      <c r="J52" s="11">
        <f>(D52*D$60)+(E52*E$60)+(F52*F$60)+(G52*G$60)+(H52*H$60)+(I52*I$60)</f>
        <v>200</v>
      </c>
      <c r="K52" s="9"/>
      <c r="L52" s="12" t="str">
        <f>IF(E52=5, 200, IF(E52=3, 150, IF(E52=2, 50, "")))</f>
        <v/>
      </c>
      <c r="M52" s="12">
        <v>100</v>
      </c>
      <c r="N52" s="12"/>
      <c r="O52" s="12"/>
      <c r="P52" s="10"/>
      <c r="Q52" s="10"/>
      <c r="R52" s="13">
        <f>SUM(K52:Q52)</f>
        <v>100</v>
      </c>
      <c r="T52" s="34">
        <f>R52+J52</f>
        <v>300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590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100</v>
      </c>
      <c r="G60" s="6">
        <v>100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6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</row>
    <row r="61" spans="2:27" ht="28.2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30</v>
      </c>
      <c r="L61" s="26" t="s">
        <v>31</v>
      </c>
      <c r="M61" s="26" t="s">
        <v>32</v>
      </c>
      <c r="N61" s="26" t="s">
        <v>33</v>
      </c>
      <c r="O61" s="27" t="s">
        <v>34</v>
      </c>
      <c r="P61" s="26" t="s">
        <v>16</v>
      </c>
      <c r="Q61" s="27">
        <v>100</v>
      </c>
      <c r="R61" s="13" t="s">
        <v>0</v>
      </c>
      <c r="T61" s="14"/>
    </row>
    <row r="62" spans="2:27" x14ac:dyDescent="0.3">
      <c r="B62" s="66" t="s">
        <v>27</v>
      </c>
      <c r="C62" s="38" t="s">
        <v>81</v>
      </c>
      <c r="D62" s="5">
        <v>21</v>
      </c>
      <c r="E62" s="6"/>
      <c r="F62" s="6"/>
      <c r="G62" s="6"/>
      <c r="H62" s="6">
        <v>1</v>
      </c>
      <c r="I62" s="6"/>
      <c r="J62" s="7">
        <f>(D62*D$60)+(E62*E$60)+(F62*F$60)+(G62*G$60)+(H62*H$60)+(I62*I$60)</f>
        <v>155</v>
      </c>
      <c r="K62" s="15"/>
      <c r="L62" s="15"/>
      <c r="M62" s="15"/>
      <c r="N62" s="15"/>
      <c r="O62" s="15"/>
      <c r="P62" s="16"/>
      <c r="Q62" s="16"/>
      <c r="R62" s="17">
        <f>SUM(K62:Q62)</f>
        <v>0</v>
      </c>
      <c r="T62" s="14">
        <f>(R62+J62)*2</f>
        <v>310</v>
      </c>
    </row>
    <row r="63" spans="2:27" x14ac:dyDescent="0.3">
      <c r="B63" s="67"/>
      <c r="C63" s="4" t="s">
        <v>35</v>
      </c>
      <c r="D63" s="18">
        <v>52</v>
      </c>
      <c r="E63" s="1"/>
      <c r="F63" s="1"/>
      <c r="G63" s="1"/>
      <c r="H63" s="1"/>
      <c r="I63" s="1"/>
      <c r="J63" s="19">
        <f>(D63*D$60)+(E63*E$60)+(F63*F$60)+(G63*G$60)+(H63*H$60)+(I63*I$60)</f>
        <v>260</v>
      </c>
      <c r="K63" s="20">
        <v>250</v>
      </c>
      <c r="L63" s="20"/>
      <c r="M63" s="20"/>
      <c r="N63" s="20"/>
      <c r="O63" s="20"/>
      <c r="P63" s="1"/>
      <c r="Q63" s="1"/>
      <c r="R63" s="17">
        <f>SUM(K63:Q63)</f>
        <v>250</v>
      </c>
      <c r="T63" s="14">
        <f>R63+J63</f>
        <v>510</v>
      </c>
    </row>
    <row r="64" spans="2:27" x14ac:dyDescent="0.3">
      <c r="B64" s="67"/>
      <c r="C64" s="4" t="s">
        <v>18</v>
      </c>
      <c r="D64" s="18">
        <v>32</v>
      </c>
      <c r="E64" s="1">
        <v>1</v>
      </c>
      <c r="F64" s="1">
        <v>1</v>
      </c>
      <c r="G64" s="1"/>
      <c r="H64" s="1"/>
      <c r="I64" s="1"/>
      <c r="J64" s="19">
        <f>(D64*D$60)+(E64*E$60)+(F64*F$60)+(G64*G$60)+(H64*H$60)+(I64*I$60)</f>
        <v>360</v>
      </c>
      <c r="K64" s="20"/>
      <c r="L64" s="20"/>
      <c r="M64" s="20"/>
      <c r="N64" s="20"/>
      <c r="O64" s="20"/>
      <c r="P64" s="1"/>
      <c r="Q64" s="1"/>
      <c r="R64" s="17">
        <f>SUM(K64:Q64)</f>
        <v>0</v>
      </c>
      <c r="T64" s="14">
        <f>R64+J64</f>
        <v>360</v>
      </c>
    </row>
    <row r="65" spans="2:20" x14ac:dyDescent="0.3">
      <c r="B65" s="67"/>
      <c r="C65" s="4" t="s">
        <v>44</v>
      </c>
      <c r="D65" s="18">
        <v>57</v>
      </c>
      <c r="E65" s="1"/>
      <c r="F65" s="1"/>
      <c r="G65" s="1"/>
      <c r="H65" s="1">
        <v>2</v>
      </c>
      <c r="I65" s="1"/>
      <c r="J65" s="19">
        <f>(D65*D$60)+(E65*E$60)+(F65*F$60)+(G65*G$60)+(H65*H$60)+(I65*I$60)</f>
        <v>385</v>
      </c>
      <c r="K65" s="20">
        <v>250</v>
      </c>
      <c r="L65" s="20"/>
      <c r="M65" s="20"/>
      <c r="N65" s="20"/>
      <c r="O65" s="20"/>
      <c r="P65" s="1"/>
      <c r="Q65" s="1"/>
      <c r="R65" s="17">
        <f>SUM(K65:Q65)</f>
        <v>250</v>
      </c>
      <c r="T65" s="14">
        <f>R65+J65</f>
        <v>635</v>
      </c>
    </row>
    <row r="66" spans="2:20" ht="15" thickBot="1" x14ac:dyDescent="0.35">
      <c r="B66" s="68"/>
      <c r="C66" s="21" t="s">
        <v>89</v>
      </c>
      <c r="D66" s="9">
        <v>10</v>
      </c>
      <c r="E66" s="10">
        <v>2</v>
      </c>
      <c r="F66" s="10"/>
      <c r="G66" s="10"/>
      <c r="H66" s="10"/>
      <c r="I66" s="10"/>
      <c r="J66" s="11">
        <f>(D66*D$60)+(E66*E$60)+(F66*F$60)+(G66*G$60)+(H66*H$60)+(I66*I$60)</f>
        <v>250</v>
      </c>
      <c r="K66" s="12"/>
      <c r="L66" s="12"/>
      <c r="M66" s="12"/>
      <c r="N66" s="12"/>
      <c r="O66" s="12"/>
      <c r="P66" s="10"/>
      <c r="Q66" s="10"/>
      <c r="R66" s="13">
        <f>SUM(K66:Q66)</f>
        <v>0</v>
      </c>
      <c r="T66" s="22">
        <f>(R66+J66)</f>
        <v>250</v>
      </c>
    </row>
    <row r="67" spans="2:20" ht="15" thickBot="1" x14ac:dyDescent="0.35">
      <c r="T67" s="37">
        <f>SUM(T62:T66)</f>
        <v>2065</v>
      </c>
    </row>
    <row r="68" spans="2:20" x14ac:dyDescent="0.3">
      <c r="B68" s="66" t="s">
        <v>28</v>
      </c>
      <c r="C68" s="39" t="s">
        <v>75</v>
      </c>
      <c r="D68" s="23">
        <v>41</v>
      </c>
      <c r="E68" s="6"/>
      <c r="F68" s="6"/>
      <c r="G68" s="6"/>
      <c r="H68" s="6">
        <v>2</v>
      </c>
      <c r="I68" s="6"/>
      <c r="J68" s="7">
        <f>(D68*D$60)+(E68*E$60)+(F68*F$60)+(G68*G$60)+(H68*H$60)+(I68*I$60)</f>
        <v>305</v>
      </c>
      <c r="K68" s="5"/>
      <c r="L68" s="23"/>
      <c r="M68" s="23"/>
      <c r="N68" s="23"/>
      <c r="O68" s="23"/>
      <c r="P68" s="6"/>
      <c r="Q68" s="6"/>
      <c r="R68" s="24">
        <f>SUM(K68:Q68)</f>
        <v>0</v>
      </c>
      <c r="T68" s="33">
        <f>(R68+J68)*2</f>
        <v>610</v>
      </c>
    </row>
    <row r="69" spans="2:20" x14ac:dyDescent="0.3">
      <c r="B69" s="67"/>
      <c r="C69" s="19" t="s">
        <v>20</v>
      </c>
      <c r="D69" s="20">
        <v>6</v>
      </c>
      <c r="E69" s="1"/>
      <c r="F69" s="1"/>
      <c r="G69" s="1"/>
      <c r="H69" s="1">
        <v>1</v>
      </c>
      <c r="I69" s="1"/>
      <c r="J69" s="19">
        <f>(D69*D$60)+(E69*E$60)+(F69*F$60)+(G69*G$60)+(H69*H$60)+(I69*I$60)</f>
        <v>80</v>
      </c>
      <c r="K69" s="18"/>
      <c r="L69" s="20"/>
      <c r="M69" s="20"/>
      <c r="N69" s="20"/>
      <c r="O69" s="20"/>
      <c r="P69" s="1"/>
      <c r="Q69" s="1"/>
      <c r="R69" s="17">
        <f>SUM(K69:Q69)</f>
        <v>0</v>
      </c>
      <c r="T69" s="14">
        <f>R69+J69</f>
        <v>80</v>
      </c>
    </row>
    <row r="70" spans="2:20" x14ac:dyDescent="0.3">
      <c r="B70" s="67"/>
      <c r="C70" s="19" t="s">
        <v>71</v>
      </c>
      <c r="D70" s="20">
        <v>2</v>
      </c>
      <c r="E70" s="1"/>
      <c r="F70" s="1">
        <v>0.5</v>
      </c>
      <c r="G70" s="1"/>
      <c r="H70" s="1">
        <v>2</v>
      </c>
      <c r="I70" s="1"/>
      <c r="J70" s="19">
        <f>(D70*D$60)+(E70*E$60)+(F70*F$60)+(G70*G$60)+(H70*H$60)+(I70*I$60)</f>
        <v>160</v>
      </c>
      <c r="K70" s="18"/>
      <c r="L70" s="20"/>
      <c r="M70" s="20"/>
      <c r="N70" s="20"/>
      <c r="O70" s="20"/>
      <c r="P70" s="1"/>
      <c r="Q70" s="1"/>
      <c r="R70" s="17">
        <f>SUM(K70:Q70)</f>
        <v>0</v>
      </c>
      <c r="T70" s="14">
        <f>R70+J70</f>
        <v>160</v>
      </c>
    </row>
    <row r="71" spans="2:20" x14ac:dyDescent="0.3">
      <c r="B71" s="67"/>
      <c r="C71" s="19" t="s">
        <v>43</v>
      </c>
      <c r="D71" s="20">
        <v>29</v>
      </c>
      <c r="E71" s="1"/>
      <c r="F71" s="1">
        <v>0.5</v>
      </c>
      <c r="G71" s="1"/>
      <c r="H71" s="1"/>
      <c r="I71" s="1"/>
      <c r="J71" s="19">
        <f>(D71*D$60)+(E71*E$60)+(F71*F$60)+(G71*G$60)+(H71*H$60)+(I71*I$60)</f>
        <v>195</v>
      </c>
      <c r="K71" s="18"/>
      <c r="L71" s="20"/>
      <c r="M71" s="20"/>
      <c r="N71" s="20"/>
      <c r="O71" s="20"/>
      <c r="P71" s="1"/>
      <c r="Q71" s="1"/>
      <c r="R71" s="17">
        <f>SUM(K71:Q71)</f>
        <v>0</v>
      </c>
      <c r="T71" s="14">
        <f>R71+J71</f>
        <v>195</v>
      </c>
    </row>
    <row r="72" spans="2:20" ht="15" thickBot="1" x14ac:dyDescent="0.35">
      <c r="B72" s="68"/>
      <c r="C72" s="11" t="s">
        <v>87</v>
      </c>
      <c r="D72" s="12"/>
      <c r="E72" s="10">
        <v>2</v>
      </c>
      <c r="F72" s="10"/>
      <c r="G72" s="10"/>
      <c r="H72" s="10">
        <v>1</v>
      </c>
      <c r="I72" s="10"/>
      <c r="J72" s="11">
        <f>(D72*D$60)+(E72*E$60)+(F72*F$60)+(G72*G$60)+(H72*H$60)+(I72*I$60)</f>
        <v>250</v>
      </c>
      <c r="K72" s="9"/>
      <c r="L72" s="12"/>
      <c r="M72" s="12"/>
      <c r="N72" s="12"/>
      <c r="O72" s="12"/>
      <c r="P72" s="10"/>
      <c r="Q72" s="10"/>
      <c r="R72" s="13">
        <f>SUM(K72:Q72)</f>
        <v>0</v>
      </c>
      <c r="T72" s="34">
        <f>R72+J72</f>
        <v>250</v>
      </c>
    </row>
    <row r="73" spans="2:20" ht="15" thickBot="1" x14ac:dyDescent="0.35">
      <c r="T73" s="37">
        <f>SUM(T68:T72)</f>
        <v>1295</v>
      </c>
    </row>
    <row r="74" spans="2:20" x14ac:dyDescent="0.3">
      <c r="B74" s="66" t="s">
        <v>29</v>
      </c>
      <c r="C74" s="39" t="s">
        <v>19</v>
      </c>
      <c r="D74" s="23">
        <v>27</v>
      </c>
      <c r="E74" s="6"/>
      <c r="F74" s="6"/>
      <c r="G74" s="6"/>
      <c r="H74" s="6"/>
      <c r="I74" s="6"/>
      <c r="J74" s="7">
        <f>(D74*D$60)+(E74*E$60)+(F74*F$60)+(G74*G$60)+(H74*H$60)+(I74*I$60)</f>
        <v>135</v>
      </c>
      <c r="K74" s="5"/>
      <c r="L74" s="23"/>
      <c r="M74" s="23"/>
      <c r="N74" s="23"/>
      <c r="O74" s="23"/>
      <c r="P74" s="6"/>
      <c r="Q74" s="6"/>
      <c r="R74" s="24">
        <f>SUM(K74:Q74)</f>
        <v>0</v>
      </c>
      <c r="T74" s="33">
        <f>(R74+J74)*2</f>
        <v>270</v>
      </c>
    </row>
    <row r="75" spans="2:20" x14ac:dyDescent="0.3">
      <c r="B75" s="67"/>
      <c r="C75" s="19" t="s">
        <v>39</v>
      </c>
      <c r="D75" s="20">
        <v>1</v>
      </c>
      <c r="E75" s="1"/>
      <c r="F75" s="1"/>
      <c r="G75" s="1"/>
      <c r="H75" s="1"/>
      <c r="I75" s="1"/>
      <c r="J75" s="19">
        <f>(D75*D$60)+(E75*E$60)+(F75*F$60)+(G75*G$60)+(H75*H$60)+(I75*I$60)</f>
        <v>5</v>
      </c>
      <c r="K75" s="18"/>
      <c r="L75" s="20"/>
      <c r="M75" s="20"/>
      <c r="N75" s="20"/>
      <c r="O75" s="20"/>
      <c r="P75" s="1"/>
      <c r="Q75" s="1"/>
      <c r="R75" s="17">
        <f>SUM(K75:Q75)</f>
        <v>0</v>
      </c>
      <c r="T75" s="14">
        <f>R75+J75</f>
        <v>5</v>
      </c>
    </row>
    <row r="76" spans="2:20" x14ac:dyDescent="0.3">
      <c r="B76" s="67"/>
      <c r="C76" s="19" t="s">
        <v>41</v>
      </c>
      <c r="D76" s="20">
        <v>6</v>
      </c>
      <c r="E76" s="1">
        <v>1</v>
      </c>
      <c r="F76" s="1"/>
      <c r="G76" s="1"/>
      <c r="H76" s="1">
        <v>1</v>
      </c>
      <c r="I76" s="1"/>
      <c r="J76" s="19">
        <f>(D76*D$60)+(E76*E$60)+(F76*F$60)+(G76*G$60)+(H76*H$60)+(I76*I$60)</f>
        <v>180</v>
      </c>
      <c r="K76" s="18"/>
      <c r="L76" s="20"/>
      <c r="M76" s="20"/>
      <c r="N76" s="20"/>
      <c r="O76" s="20"/>
      <c r="P76" s="1"/>
      <c r="Q76" s="1"/>
      <c r="R76" s="17">
        <f>SUM(K76:Q76)</f>
        <v>0</v>
      </c>
      <c r="T76" s="14">
        <f>R76+J76</f>
        <v>180</v>
      </c>
    </row>
    <row r="77" spans="2:20" x14ac:dyDescent="0.3">
      <c r="B77" s="67"/>
      <c r="C77" s="19" t="s">
        <v>45</v>
      </c>
      <c r="D77" s="20">
        <v>3</v>
      </c>
      <c r="E77" s="1"/>
      <c r="F77" s="1"/>
      <c r="G77" s="1"/>
      <c r="H77" s="1"/>
      <c r="I77" s="1"/>
      <c r="J77" s="19">
        <f>(D77*D$60)+(E77*E$60)+(F77*F$60)+(G77*G$60)+(H77*H$60)+(I77*I$60)</f>
        <v>15</v>
      </c>
      <c r="K77" s="18"/>
      <c r="L77" s="20"/>
      <c r="M77" s="20"/>
      <c r="N77" s="20"/>
      <c r="O77" s="20"/>
      <c r="P77" s="1"/>
      <c r="Q77" s="1"/>
      <c r="R77" s="17">
        <f>SUM(K77:Q77)</f>
        <v>0</v>
      </c>
      <c r="T77" s="14">
        <f>R77+J77</f>
        <v>15</v>
      </c>
    </row>
    <row r="78" spans="2:20" ht="15" thickBot="1" x14ac:dyDescent="0.35">
      <c r="B78" s="68"/>
      <c r="C78" s="11" t="s">
        <v>21</v>
      </c>
      <c r="D78" s="12">
        <v>0</v>
      </c>
      <c r="E78" s="10">
        <v>1</v>
      </c>
      <c r="F78" s="10"/>
      <c r="G78" s="10"/>
      <c r="H78" s="10"/>
      <c r="I78" s="10">
        <v>1</v>
      </c>
      <c r="J78" s="11">
        <f>(D78*D$60)+(E78*E$60)+(F78*F$60)+(G78*G$60)+(H78*H$60)+(I78*I$60)</f>
        <v>50</v>
      </c>
      <c r="K78" s="9"/>
      <c r="L78" s="12"/>
      <c r="M78" s="12"/>
      <c r="N78" s="12"/>
      <c r="O78" s="12"/>
      <c r="P78" s="10"/>
      <c r="Q78" s="10"/>
      <c r="R78" s="13">
        <f>SUM(K78:Q78)</f>
        <v>0</v>
      </c>
      <c r="T78" s="34">
        <f>R78+J78</f>
        <v>50</v>
      </c>
    </row>
    <row r="79" spans="2:20" ht="15" thickBot="1" x14ac:dyDescent="0.35">
      <c r="T79" s="37">
        <f>SUM(T74:T78)</f>
        <v>520</v>
      </c>
    </row>
  </sheetData>
  <mergeCells count="7">
    <mergeCell ref="B74:B78"/>
    <mergeCell ref="B30:B34"/>
    <mergeCell ref="B36:B40"/>
    <mergeCell ref="B42:B46"/>
    <mergeCell ref="B62:B66"/>
    <mergeCell ref="B68:B72"/>
    <mergeCell ref="B48:B5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A85"/>
  <sheetViews>
    <sheetView zoomScale="88" zoomScaleNormal="88" workbookViewId="0"/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</row>
    <row r="29" spans="2:27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1935</v>
      </c>
      <c r="Y29" s="42">
        <f>SUM(Y30:Y37)</f>
        <v>-990</v>
      </c>
      <c r="Z29" s="42">
        <f>SUM(Z30:Z37)</f>
        <v>1275</v>
      </c>
      <c r="AA29" s="42">
        <f>SUM(AA30:AA37)</f>
        <v>-2220</v>
      </c>
    </row>
    <row r="30" spans="2:27" x14ac:dyDescent="0.3">
      <c r="B30" s="66" t="s">
        <v>95</v>
      </c>
      <c r="C30" s="38" t="s">
        <v>56</v>
      </c>
      <c r="D30" s="5">
        <v>106</v>
      </c>
      <c r="E30" s="6"/>
      <c r="F30" s="6"/>
      <c r="G30" s="6"/>
      <c r="H30" s="6">
        <v>1</v>
      </c>
      <c r="I30" s="6"/>
      <c r="J30" s="7">
        <f>(D30*D$60)+(E30*E$60)+(F30*F$60)+(G30*G$60)+(H30*H$60)+(I30*I$60)</f>
        <v>580</v>
      </c>
      <c r="K30" s="15">
        <f>IF(D30&gt;=100, 250, IF(D30&gt;=50, 150, IF(D30&gt;=30, 50, "")))</f>
        <v>250</v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>
        <v>150</v>
      </c>
      <c r="P30" s="16"/>
      <c r="Q30" s="16"/>
      <c r="R30" s="17">
        <f>SUM(K30:Q30)</f>
        <v>400</v>
      </c>
      <c r="T30" s="14">
        <f>(R30+J30)*2</f>
        <v>1960</v>
      </c>
      <c r="V30" s="28">
        <v>1</v>
      </c>
      <c r="W30" s="29">
        <v>45738</v>
      </c>
      <c r="X30" s="28">
        <v>-875</v>
      </c>
      <c r="Y30" s="28">
        <v>-175</v>
      </c>
      <c r="Z30" s="28">
        <v>2065</v>
      </c>
      <c r="AA30" s="28">
        <v>-1015</v>
      </c>
    </row>
    <row r="31" spans="2:27" x14ac:dyDescent="0.3">
      <c r="B31" s="67"/>
      <c r="C31" s="4" t="s">
        <v>78</v>
      </c>
      <c r="D31" s="18">
        <v>11</v>
      </c>
      <c r="E31" s="1"/>
      <c r="F31" s="1"/>
      <c r="G31" s="1"/>
      <c r="H31" s="1"/>
      <c r="I31" s="1"/>
      <c r="J31" s="19">
        <f>(D31*D$60)+(E31*E$60)+(F31*F$60)+(G31*G$60)+(H31*H$60)+(I31*I$60)</f>
        <v>55</v>
      </c>
      <c r="K31" s="15" t="str">
        <f>IF(D31&gt;=100, 250, IF(D31&gt;=50, 150, IF(D31&gt;=30, 50, "")))</f>
        <v/>
      </c>
      <c r="L31" s="20" t="str">
        <f t="shared" ref="L31:L46" si="0">IF(E31=5, 200, IF(E31=3, 150, IF(E31=2, 50, "")))</f>
        <v/>
      </c>
      <c r="M31" s="20" t="str">
        <f t="shared" ref="M31:M52" si="1">IF(H31=3,100,IF(H31=5,200,""))</f>
        <v/>
      </c>
      <c r="N31" s="20"/>
      <c r="O31" s="20"/>
      <c r="P31" s="1"/>
      <c r="Q31" s="1"/>
      <c r="R31" s="17">
        <f>SUM(K31:Q31)</f>
        <v>0</v>
      </c>
      <c r="T31" s="14">
        <f>R31+J31</f>
        <v>55</v>
      </c>
      <c r="V31" s="28">
        <v>2</v>
      </c>
      <c r="W31" s="29">
        <v>45739</v>
      </c>
      <c r="X31" s="28">
        <f>-(Y31+Z31+AA31)</f>
        <v>2810</v>
      </c>
      <c r="Y31" s="28">
        <f>T41-T35</f>
        <v>-815</v>
      </c>
      <c r="Z31" s="28">
        <f>T47-T35</f>
        <v>-790</v>
      </c>
      <c r="AA31" s="28">
        <f>T53-T35</f>
        <v>-1205</v>
      </c>
    </row>
    <row r="32" spans="2:27" x14ac:dyDescent="0.3">
      <c r="B32" s="67"/>
      <c r="C32" s="4" t="s">
        <v>3</v>
      </c>
      <c r="D32" s="18"/>
      <c r="E32" s="1">
        <v>1</v>
      </c>
      <c r="F32" s="1"/>
      <c r="G32" s="1"/>
      <c r="H32" s="1"/>
      <c r="I32" s="1"/>
      <c r="J32" s="19">
        <f>(D32*D$60)+(E32*E$60)+(F32*F$60)+(G32*G$60)+(H32*H$60)+(I32*I$60)</f>
        <v>100</v>
      </c>
      <c r="K32" s="15" t="str">
        <f>IF(D32&gt;=100, 250, IF(D32&gt;=50, 150, IF(D32&gt;=30, 50, "")))</f>
        <v/>
      </c>
      <c r="L32" s="20" t="str">
        <f t="shared" si="0"/>
        <v/>
      </c>
      <c r="M32" s="20" t="str">
        <f t="shared" si="1"/>
        <v/>
      </c>
      <c r="N32" s="20"/>
      <c r="O32" s="20"/>
      <c r="P32" s="1"/>
      <c r="Q32" s="1"/>
      <c r="R32" s="17">
        <f>SUM(K32:Q32)</f>
        <v>0</v>
      </c>
      <c r="T32" s="14">
        <f>R32+J32</f>
        <v>100</v>
      </c>
      <c r="V32" s="28">
        <v>3</v>
      </c>
      <c r="W32" s="29"/>
      <c r="X32" s="28"/>
      <c r="Y32" s="28"/>
      <c r="Z32" s="28"/>
      <c r="AA32" s="28"/>
    </row>
    <row r="33" spans="2:27" x14ac:dyDescent="0.3">
      <c r="B33" s="67"/>
      <c r="C33" s="4" t="s">
        <v>84</v>
      </c>
      <c r="D33" s="18">
        <v>34</v>
      </c>
      <c r="E33" s="1"/>
      <c r="F33" s="1"/>
      <c r="G33" s="1"/>
      <c r="H33" s="1"/>
      <c r="I33" s="1"/>
      <c r="J33" s="19">
        <f>(D33*D$60)+(E33*E$60)+(F33*F$60)+(G33*G$60)+(H33*H$60)+(I33*I$60)</f>
        <v>170</v>
      </c>
      <c r="K33" s="15">
        <f>IF(D33&gt;=100, 250, IF(D33&gt;=50, 150, IF(D33&gt;=30, 50, "")))</f>
        <v>50</v>
      </c>
      <c r="L33" s="20" t="str">
        <f t="shared" si="0"/>
        <v/>
      </c>
      <c r="M33" s="20" t="str">
        <f t="shared" si="1"/>
        <v/>
      </c>
      <c r="N33" s="20"/>
      <c r="O33" s="20"/>
      <c r="P33" s="1">
        <v>100</v>
      </c>
      <c r="Q33" s="1"/>
      <c r="R33" s="17">
        <f>SUM(K33:Q33)</f>
        <v>150</v>
      </c>
      <c r="T33" s="14">
        <f>R33+J33</f>
        <v>320</v>
      </c>
      <c r="V33" s="28">
        <v>4</v>
      </c>
      <c r="W33" s="29"/>
      <c r="X33" s="28"/>
      <c r="Y33" s="28"/>
      <c r="Z33" s="28"/>
      <c r="AA33" s="28"/>
    </row>
    <row r="34" spans="2:27" ht="15" thickBot="1" x14ac:dyDescent="0.35">
      <c r="B34" s="68"/>
      <c r="C34" s="21" t="s">
        <v>110</v>
      </c>
      <c r="D34" s="9"/>
      <c r="E34" s="10"/>
      <c r="F34" s="10"/>
      <c r="G34" s="10"/>
      <c r="H34" s="10"/>
      <c r="I34" s="10"/>
      <c r="J34" s="11">
        <f>(D34*D$60)+(E34*E$60)+(F34*F$60)+(G34*G$60)+(H34*H$60)+(I34*I$60)</f>
        <v>0</v>
      </c>
      <c r="K34" s="12" t="str">
        <f>IF(D34&gt;=100, 250, IF(D34&gt;=50, 150, IF(D34&gt;=30, 50, "")))</f>
        <v/>
      </c>
      <c r="L34" s="12" t="str">
        <f t="shared" si="0"/>
        <v/>
      </c>
      <c r="M34" s="12" t="str">
        <f t="shared" si="1"/>
        <v/>
      </c>
      <c r="N34" s="12"/>
      <c r="O34" s="12"/>
      <c r="P34" s="10"/>
      <c r="Q34" s="10"/>
      <c r="R34" s="13">
        <f>SUM(K34:Q34)</f>
        <v>0</v>
      </c>
      <c r="T34" s="22">
        <f>(R34+J34)</f>
        <v>0</v>
      </c>
      <c r="V34" s="28">
        <v>5</v>
      </c>
      <c r="W34" s="29"/>
      <c r="X34" s="28"/>
      <c r="Y34" s="28"/>
      <c r="Z34" s="28"/>
      <c r="AA34" s="28"/>
    </row>
    <row r="35" spans="2:27" ht="15" thickBot="1" x14ac:dyDescent="0.35">
      <c r="T35" s="37">
        <f>SUM(T30:T34)</f>
        <v>2435</v>
      </c>
      <c r="V35" s="28">
        <v>6</v>
      </c>
      <c r="W35" s="29"/>
      <c r="X35" s="28"/>
      <c r="Y35" s="28"/>
      <c r="Z35" s="28"/>
      <c r="AA35" s="28"/>
    </row>
    <row r="36" spans="2:27" x14ac:dyDescent="0.3">
      <c r="B36" s="66" t="s">
        <v>96</v>
      </c>
      <c r="C36" s="39" t="s">
        <v>104</v>
      </c>
      <c r="D36" s="23">
        <v>24</v>
      </c>
      <c r="E36" s="6"/>
      <c r="F36" s="6"/>
      <c r="G36" s="6"/>
      <c r="H36" s="6"/>
      <c r="I36" s="6"/>
      <c r="J36" s="7">
        <f>(D36*D$60)+(E36*E$60)+(F36*F$60)+(G36*G$60)+(H36*H$60)+(I36*I$60)</f>
        <v>120</v>
      </c>
      <c r="K36" s="5" t="str">
        <f>IF(D36&gt;=100, 250, IF(D36&gt;=50, 150, IF(D36&gt;=30, 50, "")))</f>
        <v/>
      </c>
      <c r="L36" s="23" t="str">
        <f t="shared" si="0"/>
        <v/>
      </c>
      <c r="M36" s="23" t="str">
        <f t="shared" si="1"/>
        <v/>
      </c>
      <c r="N36" s="23"/>
      <c r="O36" s="23"/>
      <c r="P36" s="6"/>
      <c r="Q36" s="6"/>
      <c r="R36" s="24">
        <f>SUM(K36:Q36)</f>
        <v>0</v>
      </c>
      <c r="T36" s="33">
        <f>(R36+J36)*2</f>
        <v>240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52</v>
      </c>
      <c r="D37" s="20">
        <v>66</v>
      </c>
      <c r="E37" s="1"/>
      <c r="F37" s="1"/>
      <c r="G37" s="1"/>
      <c r="H37" s="1"/>
      <c r="I37" s="1"/>
      <c r="J37" s="19">
        <f>(D37*D$60)+(E37*E$60)+(F37*F$60)+(G37*G$60)+(H37*H$60)+(I37*I$60)</f>
        <v>330</v>
      </c>
      <c r="K37" s="43">
        <f>IF(D37&gt;=100, 250, IF(D37&gt;=50, 150, IF(D37&gt;=30, 50, "")))</f>
        <v>150</v>
      </c>
      <c r="L37" s="20" t="str">
        <f t="shared" si="0"/>
        <v/>
      </c>
      <c r="M37" s="20" t="str">
        <f t="shared" si="1"/>
        <v/>
      </c>
      <c r="N37" s="20"/>
      <c r="O37" s="20"/>
      <c r="P37" s="1"/>
      <c r="Q37" s="1"/>
      <c r="R37" s="17">
        <f>SUM(K37:Q37)</f>
        <v>150</v>
      </c>
      <c r="T37" s="14">
        <f>R37+J37</f>
        <v>480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105</v>
      </c>
      <c r="D38" s="20">
        <v>30</v>
      </c>
      <c r="E38" s="1"/>
      <c r="F38" s="1"/>
      <c r="G38" s="1"/>
      <c r="H38" s="1"/>
      <c r="I38" s="1"/>
      <c r="J38" s="19">
        <f>(D38*D$60)+(E38*E$60)+(F38*F$60)+(G38*G$60)+(H38*H$60)+(I38*I$60)</f>
        <v>150</v>
      </c>
      <c r="K38" s="43">
        <f>IF(D38&gt;=100, 250, IF(D38&gt;=50, 150, IF(D38&gt;=30, 50, "")))</f>
        <v>50</v>
      </c>
      <c r="L38" s="20" t="str">
        <f t="shared" si="0"/>
        <v/>
      </c>
      <c r="M38" s="20" t="str">
        <f t="shared" si="1"/>
        <v/>
      </c>
      <c r="N38" s="20"/>
      <c r="O38" s="20"/>
      <c r="P38" s="1"/>
      <c r="Q38" s="1"/>
      <c r="R38" s="17">
        <f>SUM(K38:Q38)</f>
        <v>50</v>
      </c>
      <c r="T38" s="14">
        <f>R38+J38</f>
        <v>200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22</v>
      </c>
      <c r="D39" s="20"/>
      <c r="E39" s="1">
        <v>2</v>
      </c>
      <c r="F39" s="1"/>
      <c r="G39" s="1"/>
      <c r="H39" s="1"/>
      <c r="I39" s="1"/>
      <c r="J39" s="19">
        <f>(D39*D$60)+(E39*E$60)+(F39*F$60)+(G39*G$60)+(H39*H$60)+(I39*I$60)</f>
        <v>200</v>
      </c>
      <c r="K39" s="43" t="str">
        <f>IF(D39&gt;=100, 250, IF(D39&gt;=50, 150, IF(D39&gt;=30, 50, "")))</f>
        <v/>
      </c>
      <c r="L39" s="20">
        <f t="shared" si="0"/>
        <v>50</v>
      </c>
      <c r="M39" s="20" t="str">
        <f t="shared" si="1"/>
        <v/>
      </c>
      <c r="N39" s="20"/>
      <c r="O39" s="20"/>
      <c r="P39" s="1"/>
      <c r="Q39" s="1"/>
      <c r="R39" s="17">
        <f>SUM(K39:Q39)</f>
        <v>50</v>
      </c>
      <c r="T39" s="14">
        <f>R39+J39</f>
        <v>250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80</v>
      </c>
      <c r="D40" s="12"/>
      <c r="E40" s="10">
        <v>3</v>
      </c>
      <c r="F40" s="10"/>
      <c r="G40" s="10"/>
      <c r="H40" s="10"/>
      <c r="I40" s="10"/>
      <c r="J40" s="11">
        <f>(D40*D$60)+(E40*E$60)+(F40*F$60)+(G40*G$60)+(H40*H$60)+(I40*I$60)</f>
        <v>300</v>
      </c>
      <c r="K40" s="9" t="str">
        <f>IF(D40&gt;=100, 250, IF(D40&gt;=50, 150, IF(D40&gt;=30, 50, "")))</f>
        <v/>
      </c>
      <c r="L40" s="12">
        <f t="shared" si="0"/>
        <v>150</v>
      </c>
      <c r="M40" s="12" t="str">
        <f t="shared" si="1"/>
        <v/>
      </c>
      <c r="N40" s="12"/>
      <c r="O40" s="12"/>
      <c r="P40" s="10"/>
      <c r="Q40" s="10"/>
      <c r="R40" s="13">
        <f>SUM(K40:Q40)</f>
        <v>150</v>
      </c>
      <c r="T40" s="34">
        <f>R40+J40</f>
        <v>450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1620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60</v>
      </c>
      <c r="D42" s="23">
        <v>67</v>
      </c>
      <c r="E42" s="6"/>
      <c r="F42" s="6"/>
      <c r="G42" s="6"/>
      <c r="H42" s="6"/>
      <c r="I42" s="6"/>
      <c r="J42" s="7">
        <f>(D42*D$60)+(E42*E$60)+(F42*F$60)+(G42*G$60)+(H42*H$60)+(I42*I$60)</f>
        <v>335</v>
      </c>
      <c r="K42" s="5">
        <f>IF(D42&gt;=100, 250, IF(D42&gt;=50, 150, IF(D42&gt;=30, 50, "")))</f>
        <v>150</v>
      </c>
      <c r="L42" s="23" t="str">
        <f t="shared" si="0"/>
        <v/>
      </c>
      <c r="M42" s="23" t="str">
        <f t="shared" si="1"/>
        <v/>
      </c>
      <c r="N42" s="23"/>
      <c r="O42" s="23"/>
      <c r="P42" s="6"/>
      <c r="Q42" s="6"/>
      <c r="R42" s="24">
        <f>SUM(K42:Q42)</f>
        <v>150</v>
      </c>
      <c r="T42" s="33">
        <f>(R42+J42)*2</f>
        <v>970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82</v>
      </c>
      <c r="D43" s="20">
        <v>34</v>
      </c>
      <c r="E43" s="1"/>
      <c r="F43" s="1"/>
      <c r="G43" s="1"/>
      <c r="H43" s="1">
        <v>1</v>
      </c>
      <c r="I43" s="1"/>
      <c r="J43" s="19">
        <f>(D43*D$60)+(E43*E$60)+(F43*F$60)+(G43*G$60)+(H43*H$60)+(I43*I$60)</f>
        <v>220</v>
      </c>
      <c r="K43" s="43">
        <f>IF(D43&gt;=100, 250, IF(D43&gt;=50, 150, IF(D43&gt;=30, 50, "")))</f>
        <v>50</v>
      </c>
      <c r="L43" s="20" t="str">
        <f t="shared" si="0"/>
        <v/>
      </c>
      <c r="M43" s="20" t="str">
        <f t="shared" si="1"/>
        <v/>
      </c>
      <c r="N43" s="20"/>
      <c r="O43" s="20"/>
      <c r="P43" s="1"/>
      <c r="Q43" s="1"/>
      <c r="R43" s="17">
        <f>SUM(K43:Q43)</f>
        <v>50</v>
      </c>
      <c r="T43" s="14">
        <f>R43+J43</f>
        <v>270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48</v>
      </c>
      <c r="D44" s="20"/>
      <c r="E44" s="1"/>
      <c r="F44" s="1"/>
      <c r="G44" s="1"/>
      <c r="H44" s="1">
        <v>2</v>
      </c>
      <c r="I44" s="1"/>
      <c r="J44" s="19">
        <f>(D44*D$60)+(E44*E$60)+(F44*F$60)+(G44*G$60)+(H44*H$60)+(I44*I$60)</f>
        <v>100</v>
      </c>
      <c r="K44" s="43" t="str">
        <f>IF(D44&gt;=100, 250, IF(D44&gt;=50, 150, IF(D44&gt;=30, 50, "")))</f>
        <v/>
      </c>
      <c r="L44" s="20" t="str">
        <f t="shared" si="0"/>
        <v/>
      </c>
      <c r="M44" s="20" t="str">
        <f t="shared" si="1"/>
        <v/>
      </c>
      <c r="N44" s="20"/>
      <c r="O44" s="20"/>
      <c r="P44" s="1"/>
      <c r="Q44" s="1"/>
      <c r="R44" s="17">
        <f>SUM(K44:Q44)</f>
        <v>0</v>
      </c>
      <c r="T44" s="14">
        <f>R44+J44</f>
        <v>100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106</v>
      </c>
      <c r="D45" s="20">
        <v>1</v>
      </c>
      <c r="E45" s="1"/>
      <c r="F45" s="1"/>
      <c r="G45" s="1"/>
      <c r="H45" s="1">
        <v>1</v>
      </c>
      <c r="I45" s="1"/>
      <c r="J45" s="19">
        <f>(D45*D$60)+(E45*E$60)+(F45*F$60)+(G45*G$60)+(H45*H$60)+(I45*I$60)</f>
        <v>55</v>
      </c>
      <c r="K45" s="43" t="str">
        <f>IF(D45&gt;=100, 250, IF(D45&gt;=50, 150, IF(D45&gt;=30, 50, "")))</f>
        <v/>
      </c>
      <c r="L45" s="20" t="str">
        <f t="shared" si="0"/>
        <v/>
      </c>
      <c r="M45" s="20" t="str">
        <f t="shared" si="1"/>
        <v/>
      </c>
      <c r="N45" s="20"/>
      <c r="O45" s="20"/>
      <c r="P45" s="1"/>
      <c r="Q45" s="1"/>
      <c r="R45" s="17">
        <f>SUM(K45:Q45)</f>
        <v>0</v>
      </c>
      <c r="T45" s="14">
        <f>R45+J45</f>
        <v>55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107</v>
      </c>
      <c r="D46" s="12"/>
      <c r="E46" s="10">
        <v>2</v>
      </c>
      <c r="F46" s="10"/>
      <c r="G46" s="10"/>
      <c r="H46" s="10"/>
      <c r="I46" s="10"/>
      <c r="J46" s="11">
        <f>(D46*D$60)+(E46*E$60)+(F46*F$60)+(G46*G$60)+(H46*H$60)+(I46*I$60)</f>
        <v>200</v>
      </c>
      <c r="K46" s="9" t="str">
        <f>IF(D46&gt;=100, 250, IF(D46&gt;=50, 150, IF(D46&gt;=30, 50, "")))</f>
        <v/>
      </c>
      <c r="L46" s="12">
        <f t="shared" si="0"/>
        <v>50</v>
      </c>
      <c r="M46" s="12" t="str">
        <f t="shared" si="1"/>
        <v/>
      </c>
      <c r="N46" s="12"/>
      <c r="O46" s="12"/>
      <c r="P46" s="10"/>
      <c r="Q46" s="10"/>
      <c r="R46" s="13">
        <f>SUM(K46:Q46)</f>
        <v>50</v>
      </c>
      <c r="T46" s="34">
        <f>R46+J46</f>
        <v>250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1645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108</v>
      </c>
      <c r="D48" s="23">
        <v>1</v>
      </c>
      <c r="E48" s="6"/>
      <c r="F48" s="6"/>
      <c r="G48" s="6"/>
      <c r="H48" s="6">
        <v>2</v>
      </c>
      <c r="I48" s="6"/>
      <c r="J48" s="7">
        <f>(D48*D$60)+(E48*E$60)+(F48*F$60)+(G48*G$60)+(H48*H$60)+(I48*I$60)</f>
        <v>105</v>
      </c>
      <c r="K48" s="5" t="str">
        <f>IF(D48&gt;=100, 250, IF(D48&gt;=50, 150, IF(D48&gt;=30, 50, "")))</f>
        <v/>
      </c>
      <c r="L48" s="23" t="str">
        <f>IF(E48=5, 200, IF(E48=3, 150, IF(E48=2, 50, "")))</f>
        <v/>
      </c>
      <c r="M48" s="23" t="str">
        <f t="shared" si="1"/>
        <v/>
      </c>
      <c r="N48" s="23"/>
      <c r="O48" s="23"/>
      <c r="P48" s="6"/>
      <c r="Q48" s="6"/>
      <c r="R48" s="24">
        <f>SUM(K48:Q48)</f>
        <v>0</v>
      </c>
      <c r="T48" s="33">
        <f>(R48+J48)*2</f>
        <v>210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61</v>
      </c>
      <c r="D49" s="20">
        <v>4</v>
      </c>
      <c r="E49" s="1"/>
      <c r="F49" s="1"/>
      <c r="G49" s="1"/>
      <c r="H49" s="1">
        <v>2</v>
      </c>
      <c r="I49" s="1"/>
      <c r="J49" s="19">
        <f>(D49*D$60)+(E49*E$60)+(F49*F$60)+(G49*G$60)+(H49*H$60)+(I49*I$60)</f>
        <v>120</v>
      </c>
      <c r="K49" s="43" t="str">
        <f>IF(D49&gt;=100, 250, IF(D49&gt;=50, 150, IF(D49&gt;=30, 50, "")))</f>
        <v/>
      </c>
      <c r="L49" s="20" t="str">
        <f>IF(E49=5, 200, IF(E49=3, 150, IF(E49=2, 50, "")))</f>
        <v/>
      </c>
      <c r="M49" s="20" t="str">
        <f t="shared" si="1"/>
        <v/>
      </c>
      <c r="N49" s="20"/>
      <c r="O49" s="20"/>
      <c r="P49" s="1"/>
      <c r="Q49" s="1"/>
      <c r="R49" s="17">
        <f>SUM(K49:Q49)</f>
        <v>0</v>
      </c>
      <c r="T49" s="14">
        <f>R49+J49</f>
        <v>120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109</v>
      </c>
      <c r="D50" s="20">
        <v>70</v>
      </c>
      <c r="E50" s="1"/>
      <c r="F50" s="1"/>
      <c r="G50" s="1"/>
      <c r="H50" s="1"/>
      <c r="I50" s="1"/>
      <c r="J50" s="19">
        <f>(D50*D$60)+(E50*E$60)+(F50*F$60)+(G50*G$60)+(H50*H$60)+(I50*I$60)</f>
        <v>350</v>
      </c>
      <c r="K50" s="43">
        <f>IF(D50&gt;=100, 250, IF(D50&gt;=50, 150, IF(D50&gt;=30, 50, "")))</f>
        <v>150</v>
      </c>
      <c r="L50" s="20" t="str">
        <f>IF(E50=5, 200, IF(E50=3, 150, IF(E50=2, 50, "")))</f>
        <v/>
      </c>
      <c r="M50" s="20" t="str">
        <f t="shared" si="1"/>
        <v/>
      </c>
      <c r="N50" s="20"/>
      <c r="O50" s="20">
        <v>150</v>
      </c>
      <c r="P50" s="1">
        <v>100</v>
      </c>
      <c r="Q50" s="1"/>
      <c r="R50" s="17">
        <f>SUM(K50:Q50)</f>
        <v>400</v>
      </c>
      <c r="T50" s="14">
        <f>R50+J50</f>
        <v>750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63</v>
      </c>
      <c r="D51" s="20"/>
      <c r="E51" s="1">
        <v>1</v>
      </c>
      <c r="F51" s="1"/>
      <c r="G51" s="1"/>
      <c r="H51" s="1"/>
      <c r="I51" s="1"/>
      <c r="J51" s="19">
        <f>(D51*D$60)+(E51*E$60)+(F51*F$60)+(G51*G$60)+(H51*H$60)+(I51*I$60)</f>
        <v>100</v>
      </c>
      <c r="K51" s="43" t="str">
        <f>IF(D51&gt;=100, 250, IF(D51&gt;=50, 150, IF(D51&gt;=30, 50, "")))</f>
        <v/>
      </c>
      <c r="L51" s="20" t="str">
        <f>IF(E51=5, 200, IF(E51=3, 150, IF(E51=2, 50, "")))</f>
        <v/>
      </c>
      <c r="M51" s="20" t="str">
        <f t="shared" si="1"/>
        <v/>
      </c>
      <c r="N51" s="20"/>
      <c r="O51" s="20"/>
      <c r="P51" s="1"/>
      <c r="Q51" s="1"/>
      <c r="R51" s="17">
        <f>SUM(K51:Q51)</f>
        <v>0</v>
      </c>
      <c r="T51" s="14">
        <f>R51+J51</f>
        <v>100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73</v>
      </c>
      <c r="D52" s="12">
        <v>0</v>
      </c>
      <c r="E52" s="10"/>
      <c r="F52" s="10"/>
      <c r="G52" s="10"/>
      <c r="H52" s="10">
        <v>2</v>
      </c>
      <c r="I52" s="10">
        <v>1</v>
      </c>
      <c r="J52" s="11">
        <f>(D52*D$60)+(E52*E$60)+(F52*F$60)+(G52*G$60)+(H52*H$60)+(I52*I$60)</f>
        <v>50</v>
      </c>
      <c r="K52" s="9" t="str">
        <f>IF(D52&gt;=100, 250, IF(D52&gt;=50, 150, IF(D52&gt;=30, 50, "")))</f>
        <v/>
      </c>
      <c r="L52" s="12" t="str">
        <f>IF(E52=5, 200, IF(E52=3, 150, IF(E52=2, 50, "")))</f>
        <v/>
      </c>
      <c r="M52" s="12" t="str">
        <f t="shared" si="1"/>
        <v/>
      </c>
      <c r="N52" s="12"/>
      <c r="O52" s="12"/>
      <c r="P52" s="10"/>
      <c r="Q52" s="10"/>
      <c r="R52" s="13">
        <f>SUM(K52:Q52)</f>
        <v>0</v>
      </c>
      <c r="T52" s="34">
        <f>R52+J52</f>
        <v>50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1230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SUM(X62:X64)</f>
        <v>1585</v>
      </c>
      <c r="Y61" s="42">
        <f>SUM(Y62:Y64)</f>
        <v>-1420</v>
      </c>
      <c r="Z61" s="42">
        <f>SUM(Z62:Z64)</f>
        <v>3430</v>
      </c>
      <c r="AA61" s="42">
        <f>SUM(AA62:AA64)</f>
        <v>-3595</v>
      </c>
    </row>
    <row r="62" spans="2:27" x14ac:dyDescent="0.3">
      <c r="B62" s="66" t="s">
        <v>95</v>
      </c>
      <c r="C62" s="38" t="s">
        <v>36</v>
      </c>
      <c r="D62" s="5">
        <v>65</v>
      </c>
      <c r="E62" s="6"/>
      <c r="F62" s="6"/>
      <c r="G62" s="6"/>
      <c r="H62" s="6"/>
      <c r="I62" s="6"/>
      <c r="J62" s="7">
        <f>(D62*D$60)+(E62*E$60)+(F62*F$60)+(G62*G$60)+(H62*H$60)+(I62*I$60)</f>
        <v>325</v>
      </c>
      <c r="K62" s="15">
        <f>IF(D62&gt;=100, 250, IF(D62&gt;=50, 150, IF(D62&gt;=30, 50, "")))</f>
        <v>150</v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150</v>
      </c>
      <c r="T62" s="14">
        <f>(R62+J62)*2</f>
        <v>950</v>
      </c>
      <c r="V62" s="28">
        <v>1</v>
      </c>
      <c r="W62" s="29">
        <v>45738</v>
      </c>
      <c r="X62" s="28">
        <v>-875</v>
      </c>
      <c r="Y62" s="28">
        <v>-175</v>
      </c>
      <c r="Z62" s="28">
        <v>2065</v>
      </c>
      <c r="AA62" s="28">
        <v>-1015</v>
      </c>
    </row>
    <row r="63" spans="2:27" x14ac:dyDescent="0.3">
      <c r="B63" s="67"/>
      <c r="C63" s="4" t="s">
        <v>51</v>
      </c>
      <c r="D63" s="18">
        <v>1</v>
      </c>
      <c r="E63" s="1"/>
      <c r="F63" s="1"/>
      <c r="G63" s="1"/>
      <c r="H63" s="1"/>
      <c r="I63" s="1"/>
      <c r="J63" s="19">
        <f>(D63*D$60)+(E63*E$60)+(F63*F$60)+(G63*G$60)+(H63*H$60)+(I63*I$60)</f>
        <v>5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5</v>
      </c>
      <c r="V63" s="28">
        <v>2</v>
      </c>
      <c r="W63" s="29">
        <v>45739</v>
      </c>
      <c r="X63" s="28">
        <v>2810</v>
      </c>
      <c r="Y63" s="28">
        <v>-815</v>
      </c>
      <c r="Z63" s="28">
        <v>-790</v>
      </c>
      <c r="AA63" s="28">
        <v>-1205</v>
      </c>
    </row>
    <row r="64" spans="2:27" x14ac:dyDescent="0.3">
      <c r="B64" s="67"/>
      <c r="C64" s="4" t="s">
        <v>23</v>
      </c>
      <c r="D64" s="18">
        <v>28</v>
      </c>
      <c r="E64" s="1">
        <v>1</v>
      </c>
      <c r="F64" s="1">
        <v>1</v>
      </c>
      <c r="G64" s="1"/>
      <c r="H64" s="1"/>
      <c r="I64" s="1"/>
      <c r="J64" s="19">
        <f>(D64*D$60)+(E64*E$60)+(F64*F$60)+(G64*G$60)+(H64*H$60)+(I64*I$60)</f>
        <v>290</v>
      </c>
      <c r="K64" s="15" t="str">
        <f>IF(D64&gt;=100, 250, IF(D64&gt;=50, 150, IF(D64&gt;=30, 50, "")))</f>
        <v/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/>
      <c r="P64" s="1"/>
      <c r="Q64" s="1"/>
      <c r="R64" s="17">
        <f>SUM(K64:Q64)</f>
        <v>0</v>
      </c>
      <c r="T64" s="14">
        <f>R64+J64</f>
        <v>290</v>
      </c>
      <c r="V64" s="28">
        <v>3</v>
      </c>
      <c r="W64" s="29">
        <v>45739</v>
      </c>
      <c r="X64" s="28">
        <f>T67-T79</f>
        <v>-350</v>
      </c>
      <c r="Y64" s="28">
        <f>T73-T79</f>
        <v>-430</v>
      </c>
      <c r="Z64" s="28">
        <f>-(X64+Y64+AA64)</f>
        <v>2155</v>
      </c>
      <c r="AA64" s="28">
        <f>T85-T79</f>
        <v>-1375</v>
      </c>
    </row>
    <row r="65" spans="2:27" x14ac:dyDescent="0.3">
      <c r="B65" s="67"/>
      <c r="C65" s="4" t="s">
        <v>68</v>
      </c>
      <c r="D65" s="18"/>
      <c r="E65" s="1">
        <v>1</v>
      </c>
      <c r="F65" s="1"/>
      <c r="G65" s="1"/>
      <c r="H65" s="1"/>
      <c r="I65" s="1"/>
      <c r="J65" s="19">
        <f>(D65*D$60)+(E65*E$60)+(F65*F$60)+(G65*G$60)+(H65*H$60)+(I65*I$60)</f>
        <v>100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79</v>
      </c>
      <c r="D66" s="9">
        <v>3</v>
      </c>
      <c r="E66" s="10"/>
      <c r="F66" s="10"/>
      <c r="G66" s="10"/>
      <c r="H66" s="10"/>
      <c r="I66" s="10"/>
      <c r="J66" s="11">
        <f>(D66*D$60)+(E66*E$60)+(F66*F$60)+(G66*G$60)+(H66*H$60)+(I66*I$60)</f>
        <v>15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1360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114</v>
      </c>
      <c r="D68" s="23">
        <v>11</v>
      </c>
      <c r="E68" s="6">
        <v>1</v>
      </c>
      <c r="F68" s="6"/>
      <c r="G68" s="6"/>
      <c r="H68" s="6">
        <v>1</v>
      </c>
      <c r="I68" s="6"/>
      <c r="J68" s="7">
        <f>(D68*D$60)+(E68*E$60)+(F68*F$60)+(G68*G$60)+(H68*H$60)+(I68*I$60)</f>
        <v>205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410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55</v>
      </c>
      <c r="D69" s="20">
        <v>31</v>
      </c>
      <c r="E69" s="1"/>
      <c r="F69" s="1"/>
      <c r="G69" s="1"/>
      <c r="H69" s="1">
        <v>1</v>
      </c>
      <c r="I69" s="1"/>
      <c r="J69" s="19">
        <f>(D69*D$60)+(E69*E$60)+(F69*F$60)+(G69*G$60)+(H69*H$60)+(I69*I$60)</f>
        <v>205</v>
      </c>
      <c r="K69" s="43">
        <f>IF(D69&gt;=100, 250, IF(D69&gt;=50, 150, IF(D69&gt;=30, 50, "")))</f>
        <v>50</v>
      </c>
      <c r="L69" s="20" t="str">
        <f>IF(E69=5, 200, IF(E69=3, 150, IF(E69=2, 50, "")))</f>
        <v/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255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88</v>
      </c>
      <c r="D70" s="20">
        <v>11</v>
      </c>
      <c r="E70" s="1"/>
      <c r="F70" s="1"/>
      <c r="G70" s="1"/>
      <c r="H70" s="1"/>
      <c r="I70" s="1"/>
      <c r="J70" s="19">
        <f>(D70*D$60)+(E70*E$60)+(F70*F$60)+(G70*G$60)+(H70*H$60)+(I70*I$60)</f>
        <v>55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55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26</v>
      </c>
      <c r="D71" s="20"/>
      <c r="E71" s="1">
        <v>4</v>
      </c>
      <c r="F71" s="1"/>
      <c r="G71" s="1"/>
      <c r="H71" s="1"/>
      <c r="I71" s="1"/>
      <c r="J71" s="19">
        <f>(D71*D$60)+(E71*E$60)+(F71*F$60)+(G71*G$60)+(H71*H$60)+(I71*I$60)</f>
        <v>400</v>
      </c>
      <c r="K71" s="43" t="str">
        <f>IF(D71&gt;=100, 250, IF(D71&gt;=50, 150, IF(D71&gt;=30, 50, "")))</f>
        <v/>
      </c>
      <c r="L71" s="20">
        <v>150</v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150</v>
      </c>
      <c r="T71" s="14">
        <f>R71+J71</f>
        <v>550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115</v>
      </c>
      <c r="D72" s="12">
        <v>2</v>
      </c>
      <c r="E72" s="10"/>
      <c r="F72" s="10"/>
      <c r="G72" s="10"/>
      <c r="H72" s="10"/>
      <c r="I72" s="10"/>
      <c r="J72" s="11">
        <f>(D72*D$60)+(E72*E$60)+(F72*F$60)+(G72*G$60)+(H72*H$60)+(I72*I$60)</f>
        <v>10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10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1280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72</v>
      </c>
      <c r="D74" s="23">
        <v>53</v>
      </c>
      <c r="E74" s="6"/>
      <c r="F74" s="6"/>
      <c r="G74" s="6"/>
      <c r="H74" s="6">
        <v>1</v>
      </c>
      <c r="I74" s="6"/>
      <c r="J74" s="7">
        <f>(D74*D$60)+(E74*E$60)+(F74*F$60)+(G74*G$60)+(H74*H$60)+(I74*I$60)</f>
        <v>315</v>
      </c>
      <c r="K74" s="5">
        <f>IF(D74&gt;=100, 250, IF(D74&gt;=50, 150, IF(D74&gt;=30, 50, "")))</f>
        <v>150</v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150</v>
      </c>
      <c r="T74" s="33">
        <f>(R74+J74)*2</f>
        <v>930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111</v>
      </c>
      <c r="D75" s="20">
        <v>13</v>
      </c>
      <c r="E75" s="1"/>
      <c r="F75" s="1">
        <v>1</v>
      </c>
      <c r="G75" s="1"/>
      <c r="H75" s="1">
        <v>1</v>
      </c>
      <c r="I75" s="1"/>
      <c r="J75" s="19">
        <f>(D75*D$60)+(E75*E$60)+(F75*F$60)+(G75*G$60)+(H75*H$60)+(I75*I$60)</f>
        <v>165</v>
      </c>
      <c r="K75" s="43" t="str">
        <f>IF(D75&gt;=100, 250, IF(D75&gt;=50, 150, IF(D75&gt;=30, 50, "")))</f>
        <v/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0</v>
      </c>
      <c r="T75" s="14">
        <f>R75+J75</f>
        <v>165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66</v>
      </c>
      <c r="D76" s="20">
        <v>9</v>
      </c>
      <c r="E76" s="1"/>
      <c r="F76" s="1"/>
      <c r="G76" s="1"/>
      <c r="H76" s="1">
        <v>2</v>
      </c>
      <c r="I76" s="1"/>
      <c r="J76" s="19">
        <f>(D76*D$60)+(E76*E$60)+(F76*F$60)+(G76*G$60)+(H76*H$60)+(I76*I$60)</f>
        <v>145</v>
      </c>
      <c r="K76" s="43" t="str">
        <f>IF(D76&gt;=100, 250, IF(D76&gt;=50, 150, IF(D76&gt;=30, 50, "")))</f>
        <v/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0</v>
      </c>
      <c r="T76" s="14">
        <f>R76+J76</f>
        <v>145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42</v>
      </c>
      <c r="D77" s="20">
        <v>4</v>
      </c>
      <c r="E77" s="1"/>
      <c r="F77" s="1"/>
      <c r="G77" s="1"/>
      <c r="H77" s="1"/>
      <c r="I77" s="1"/>
      <c r="J77" s="19">
        <f>(D77*D$60)+(E77*E$60)+(F77*F$60)+(G77*G$60)+(H77*H$60)+(I77*I$60)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77</v>
      </c>
      <c r="D78" s="12"/>
      <c r="E78" s="10">
        <v>3</v>
      </c>
      <c r="F78" s="10"/>
      <c r="G78" s="10"/>
      <c r="H78" s="10"/>
      <c r="I78" s="10"/>
      <c r="J78" s="11">
        <f>(D78*D$60)+(E78*E$60)+(F78*F$60)+(G78*G$60)+(H78*H$60)+(I78*I$60)</f>
        <v>300</v>
      </c>
      <c r="K78" s="9" t="str">
        <f>IF(D78&gt;=100, 250, IF(D78&gt;=50, 150, IF(D78&gt;=30, 50, "")))</f>
        <v/>
      </c>
      <c r="L78" s="12">
        <f>IF(E78=5, 200, IF(E78=3, 150, IF(E78=2, 50, "")))</f>
        <v>150</v>
      </c>
      <c r="M78" s="12" t="str">
        <f>IF(H78=3,100,IF(H78=5,200,""))</f>
        <v/>
      </c>
      <c r="N78" s="12"/>
      <c r="O78" s="12"/>
      <c r="P78" s="10"/>
      <c r="Q78" s="10"/>
      <c r="R78" s="13">
        <f>SUM(K78:Q78)</f>
        <v>150</v>
      </c>
      <c r="T78" s="34">
        <f>R78+J78</f>
        <v>450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1710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57</v>
      </c>
      <c r="D80" s="23">
        <v>0</v>
      </c>
      <c r="E80" s="6"/>
      <c r="F80" s="6"/>
      <c r="G80" s="6"/>
      <c r="H80" s="6"/>
      <c r="I80" s="6">
        <v>1</v>
      </c>
      <c r="J80" s="7">
        <f>(D80*D$60)+(E80*E$60)+(F80*F$60)+(G80*G$60)+(H80*H$60)+(I80*I$60)</f>
        <v>-50</v>
      </c>
      <c r="K80" s="5" t="str">
        <f>IF(D80&gt;=100, 250, IF(D80&gt;=50, 150, IF(D80&gt;=30, 50, "")))</f>
        <v/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0</v>
      </c>
      <c r="T80" s="33">
        <f>(R80+J80)*2</f>
        <v>-100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70</v>
      </c>
      <c r="D81" s="20">
        <v>29</v>
      </c>
      <c r="E81" s="1"/>
      <c r="F81" s="1"/>
      <c r="G81" s="1"/>
      <c r="H81" s="1"/>
      <c r="I81" s="1"/>
      <c r="J81" s="19">
        <f>(D81*D$60)+(E81*E$60)+(F81*F$60)+(G81*G$60)+(H81*H$60)+(I81*I$60)</f>
        <v>145</v>
      </c>
      <c r="K81" s="43" t="str">
        <f>IF(D81&gt;=100, 250, IF(D81&gt;=50, 150, IF(D81&gt;=30, 50, "")))</f>
        <v/>
      </c>
      <c r="L81" s="20" t="str">
        <f>IF(E81=5, 200, IF(E81=3, 150, IF(E81=2, 50, "")))</f>
        <v/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0</v>
      </c>
      <c r="T81" s="14">
        <f>R81+J81</f>
        <v>145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59</v>
      </c>
      <c r="D82" s="20">
        <v>17</v>
      </c>
      <c r="E82" s="1"/>
      <c r="F82" s="1"/>
      <c r="G82" s="1"/>
      <c r="H82" s="1">
        <v>1</v>
      </c>
      <c r="I82" s="1"/>
      <c r="J82" s="19">
        <f>(D82*D$60)+(E82*E$60)+(F82*F$60)+(G82*G$60)+(H82*H$60)+(I82*I$60)</f>
        <v>135</v>
      </c>
      <c r="K82" s="43" t="str">
        <f>IF(D82&gt;=100, 250, IF(D82&gt;=50, 150, IF(D82&gt;=30, 50, "")))</f>
        <v/>
      </c>
      <c r="L82" s="20" t="str">
        <f>IF(E82=5, 200, IF(E82=3, 150, IF(E82=2, 50, "")))</f>
        <v/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0</v>
      </c>
      <c r="T82" s="14">
        <f>R82+J82</f>
        <v>135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112</v>
      </c>
      <c r="D83" s="20"/>
      <c r="E83" s="1">
        <v>1</v>
      </c>
      <c r="F83" s="1"/>
      <c r="G83" s="1"/>
      <c r="H83" s="1"/>
      <c r="I83" s="1"/>
      <c r="J83" s="19">
        <f>(D83*D$60)+(E83*E$60)+(F83*F$60)+(G83*G$60)+(H83*H$60)+(I83*I$60)</f>
        <v>100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113</v>
      </c>
      <c r="D84" s="12">
        <v>1</v>
      </c>
      <c r="E84" s="10"/>
      <c r="F84" s="10"/>
      <c r="G84" s="10"/>
      <c r="H84" s="10">
        <v>1</v>
      </c>
      <c r="I84" s="10"/>
      <c r="J84" s="11">
        <f>(D84*D$60)+(E84*E$60)+(F84*F$60)+(G84*G$60)+(H84*H$60)+(I84*I$60)</f>
        <v>55</v>
      </c>
      <c r="K84" s="9" t="str">
        <f>IF(D84&gt;=100, 250, IF(D84&gt;=50, 150, IF(D84&gt;=30, 50, "")))</f>
        <v/>
      </c>
      <c r="L84" s="12" t="str">
        <f>IF(E84=5, 200, IF(E84=3, 150, IF(E84=2, 50, "")))</f>
        <v/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0</v>
      </c>
      <c r="T84" s="34">
        <f>R84+J84</f>
        <v>55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335</v>
      </c>
      <c r="V85" s="28"/>
      <c r="W85" s="29"/>
      <c r="X85" s="28"/>
      <c r="Y85" s="28"/>
      <c r="Z85" s="28"/>
      <c r="AA85" s="28"/>
    </row>
  </sheetData>
  <mergeCells count="8">
    <mergeCell ref="B74:B78"/>
    <mergeCell ref="B68:B72"/>
    <mergeCell ref="B62:B66"/>
    <mergeCell ref="B80:B84"/>
    <mergeCell ref="B30:B34"/>
    <mergeCell ref="B36:B40"/>
    <mergeCell ref="B42:B46"/>
    <mergeCell ref="B48:B5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AA85"/>
  <sheetViews>
    <sheetView zoomScale="88" zoomScaleNormal="88" workbookViewId="0">
      <selection activeCell="AD47" sqref="AD47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</row>
    <row r="29" spans="2:27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580</v>
      </c>
      <c r="Y29" s="42">
        <f>SUM(Y30:Y37)</f>
        <v>705</v>
      </c>
      <c r="Z29" s="42">
        <f>SUM(Z30:Z37)</f>
        <v>3045</v>
      </c>
      <c r="AA29" s="42">
        <f>SUM(AA30:AA37)</f>
        <v>-4330</v>
      </c>
    </row>
    <row r="30" spans="2:27" x14ac:dyDescent="0.3">
      <c r="B30" s="66" t="s">
        <v>95</v>
      </c>
      <c r="C30" s="38" t="s">
        <v>81</v>
      </c>
      <c r="D30" s="5">
        <v>1</v>
      </c>
      <c r="E30" s="6"/>
      <c r="F30" s="6"/>
      <c r="G30" s="6"/>
      <c r="H30" s="6"/>
      <c r="I30" s="6"/>
      <c r="J30" s="7">
        <f>(D30*D$60)+(E30*E$60)+(F30*F$60)+(G30*G$60)+(H30*H$60)+(I30*I$60)</f>
        <v>5</v>
      </c>
      <c r="K30" s="15" t="str">
        <f>IF(D30&gt;=100, 250, IF(D30&gt;=50, 150, IF(D30&gt;=30, 50, "")))</f>
        <v/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0</v>
      </c>
      <c r="T30" s="14">
        <f>(R30+J30)*2</f>
        <v>10</v>
      </c>
      <c r="V30" s="28">
        <v>1</v>
      </c>
      <c r="W30" s="29">
        <v>45738</v>
      </c>
      <c r="X30" s="28">
        <v>-875</v>
      </c>
      <c r="Y30" s="28">
        <v>-175</v>
      </c>
      <c r="Z30" s="28">
        <v>2065</v>
      </c>
      <c r="AA30" s="28">
        <v>-1015</v>
      </c>
    </row>
    <row r="31" spans="2:27" x14ac:dyDescent="0.3">
      <c r="B31" s="67"/>
      <c r="C31" s="4" t="s">
        <v>53</v>
      </c>
      <c r="D31" s="18">
        <v>75</v>
      </c>
      <c r="E31" s="1"/>
      <c r="F31" s="1"/>
      <c r="G31" s="1"/>
      <c r="H31" s="1">
        <v>2</v>
      </c>
      <c r="I31" s="1"/>
      <c r="J31" s="19">
        <f>(D31*D$60)+(E31*E$60)+(F31*F$60)+(G31*G$60)+(H31*H$60)+(I31*I$60)</f>
        <v>475</v>
      </c>
      <c r="K31" s="15">
        <f>IF(D31&gt;=100, 250, IF(D31&gt;=50, 150, IF(D31&gt;=30, 50, "")))</f>
        <v>150</v>
      </c>
      <c r="L31" s="20" t="str">
        <f t="shared" ref="L31:L46" si="0">IF(E31=5, 200, IF(E31=3, 150, IF(E31=2, 50, "")))</f>
        <v/>
      </c>
      <c r="M31" s="20" t="str">
        <f t="shared" ref="M31:M52" si="1">IF(H31=3,100,IF(H31=5,200,""))</f>
        <v/>
      </c>
      <c r="N31" s="20"/>
      <c r="O31" s="20">
        <v>150</v>
      </c>
      <c r="P31" s="1">
        <v>100</v>
      </c>
      <c r="Q31" s="1"/>
      <c r="R31" s="17">
        <f>SUM(K31:Q31)</f>
        <v>400</v>
      </c>
      <c r="T31" s="14">
        <f>R31+J31</f>
        <v>875</v>
      </c>
      <c r="V31" s="28">
        <v>2</v>
      </c>
      <c r="W31" s="29">
        <v>45739</v>
      </c>
      <c r="X31" s="28">
        <f>-(Y31+Z31+AA31)</f>
        <v>2810</v>
      </c>
      <c r="Y31" s="28">
        <v>-815</v>
      </c>
      <c r="Z31" s="28">
        <v>-790</v>
      </c>
      <c r="AA31" s="28">
        <v>-1205</v>
      </c>
    </row>
    <row r="32" spans="2:27" x14ac:dyDescent="0.3">
      <c r="B32" s="67"/>
      <c r="C32" s="4" t="s">
        <v>118</v>
      </c>
      <c r="D32" s="18">
        <v>4</v>
      </c>
      <c r="E32" s="1"/>
      <c r="F32" s="1"/>
      <c r="G32" s="1"/>
      <c r="H32" s="1">
        <v>1</v>
      </c>
      <c r="I32" s="1"/>
      <c r="J32" s="19">
        <f>(D32*D$60)+(E32*E$60)+(F32*F$60)+(G32*G$60)+(H32*H$60)+(I32*I$60)</f>
        <v>70</v>
      </c>
      <c r="K32" s="15" t="str">
        <f>IF(D32&gt;=100, 250, IF(D32&gt;=50, 150, IF(D32&gt;=30, 50, "")))</f>
        <v/>
      </c>
      <c r="L32" s="20" t="str">
        <f t="shared" si="0"/>
        <v/>
      </c>
      <c r="M32" s="20" t="str">
        <f t="shared" si="1"/>
        <v/>
      </c>
      <c r="N32" s="20"/>
      <c r="O32" s="20"/>
      <c r="P32" s="1"/>
      <c r="Q32" s="1"/>
      <c r="R32" s="17">
        <f>SUM(K32:Q32)</f>
        <v>0</v>
      </c>
      <c r="T32" s="14">
        <f>R32+J32</f>
        <v>70</v>
      </c>
      <c r="V32" s="28">
        <v>3</v>
      </c>
      <c r="W32" s="29">
        <v>45739</v>
      </c>
      <c r="X32" s="28">
        <v>-350</v>
      </c>
      <c r="Y32" s="28">
        <v>-430</v>
      </c>
      <c r="Z32" s="28">
        <v>2155</v>
      </c>
      <c r="AA32" s="28">
        <v>-1375</v>
      </c>
    </row>
    <row r="33" spans="2:27" x14ac:dyDescent="0.3">
      <c r="B33" s="67"/>
      <c r="C33" s="4" t="s">
        <v>58</v>
      </c>
      <c r="D33" s="18">
        <v>1</v>
      </c>
      <c r="E33" s="1"/>
      <c r="F33" s="1"/>
      <c r="G33" s="1"/>
      <c r="H33" s="1"/>
      <c r="I33" s="1"/>
      <c r="J33" s="19">
        <f>(D33*D$60)+(E33*E$60)+(F33*F$60)+(G33*G$60)+(H33*H$60)+(I33*I$60)</f>
        <v>5</v>
      </c>
      <c r="K33" s="15" t="str">
        <f>IF(D33&gt;=100, 250, IF(D33&gt;=50, 150, IF(D33&gt;=30, 50, "")))</f>
        <v/>
      </c>
      <c r="L33" s="20" t="str">
        <f t="shared" si="0"/>
        <v/>
      </c>
      <c r="M33" s="20" t="str">
        <f t="shared" si="1"/>
        <v/>
      </c>
      <c r="N33" s="20"/>
      <c r="O33" s="20"/>
      <c r="P33" s="1"/>
      <c r="Q33" s="1"/>
      <c r="R33" s="17">
        <f>SUM(K33:Q33)</f>
        <v>0</v>
      </c>
      <c r="T33" s="14">
        <f>R33+J33</f>
        <v>5</v>
      </c>
      <c r="V33" s="28">
        <v>4</v>
      </c>
      <c r="W33" s="29">
        <v>45740</v>
      </c>
      <c r="X33" s="28">
        <f>T35-T41</f>
        <v>-1005</v>
      </c>
      <c r="Y33" s="28">
        <f>-(X33+Z33+AA33)</f>
        <v>2125</v>
      </c>
      <c r="Z33" s="28">
        <f>T47-T41</f>
        <v>-385</v>
      </c>
      <c r="AA33" s="28">
        <f>T53-T41</f>
        <v>-735</v>
      </c>
    </row>
    <row r="34" spans="2:27" ht="15" thickBot="1" x14ac:dyDescent="0.35">
      <c r="B34" s="68"/>
      <c r="C34" s="21" t="s">
        <v>86</v>
      </c>
      <c r="D34" s="9">
        <v>9</v>
      </c>
      <c r="E34" s="10"/>
      <c r="F34" s="10"/>
      <c r="G34" s="10"/>
      <c r="H34" s="10"/>
      <c r="I34" s="10"/>
      <c r="J34" s="11">
        <f>(D34*D$60)+(E34*E$60)+(F34*F$60)+(G34*G$60)+(H34*H$60)+(I34*I$60)</f>
        <v>45</v>
      </c>
      <c r="K34" s="12" t="str">
        <f>IF(D34&gt;=100, 250, IF(D34&gt;=50, 150, IF(D34&gt;=30, 50, "")))</f>
        <v/>
      </c>
      <c r="L34" s="12" t="str">
        <f t="shared" si="0"/>
        <v/>
      </c>
      <c r="M34" s="12" t="str">
        <f t="shared" si="1"/>
        <v/>
      </c>
      <c r="N34" s="12"/>
      <c r="O34" s="12"/>
      <c r="P34" s="10"/>
      <c r="Q34" s="10"/>
      <c r="R34" s="13">
        <f>SUM(K34:Q34)</f>
        <v>0</v>
      </c>
      <c r="T34" s="22">
        <f>(R34+J34)</f>
        <v>45</v>
      </c>
      <c r="V34" s="28">
        <v>5</v>
      </c>
      <c r="W34" s="29"/>
      <c r="X34" s="28"/>
      <c r="Y34" s="28"/>
      <c r="Z34" s="28"/>
      <c r="AA34" s="28"/>
    </row>
    <row r="35" spans="2:27" ht="15" thickBot="1" x14ac:dyDescent="0.35">
      <c r="T35" s="37">
        <f>SUM(T30:T34)</f>
        <v>1005</v>
      </c>
      <c r="V35" s="28">
        <v>6</v>
      </c>
      <c r="W35" s="29"/>
      <c r="X35" s="28"/>
      <c r="Y35" s="28"/>
      <c r="Z35" s="28"/>
      <c r="AA35" s="28"/>
    </row>
    <row r="36" spans="2:27" x14ac:dyDescent="0.3">
      <c r="B36" s="66" t="s">
        <v>96</v>
      </c>
      <c r="C36" s="39" t="s">
        <v>37</v>
      </c>
      <c r="D36" s="23">
        <v>72</v>
      </c>
      <c r="E36" s="6"/>
      <c r="F36" s="6"/>
      <c r="G36" s="6"/>
      <c r="H36" s="6"/>
      <c r="I36" s="6"/>
      <c r="J36" s="7">
        <f>(D36*D$60)+(E36*E$60)+(F36*F$60)+(G36*G$60)+(H36*H$60)+(I36*I$60)</f>
        <v>360</v>
      </c>
      <c r="K36" s="5">
        <f>IF(D36&gt;=100, 250, IF(D36&gt;=50, 150, IF(D36&gt;=30, 50, "")))</f>
        <v>150</v>
      </c>
      <c r="L36" s="23" t="str">
        <f t="shared" si="0"/>
        <v/>
      </c>
      <c r="M36" s="23" t="str">
        <f t="shared" si="1"/>
        <v/>
      </c>
      <c r="N36" s="23"/>
      <c r="O36" s="23">
        <v>150</v>
      </c>
      <c r="P36" s="6"/>
      <c r="Q36" s="6"/>
      <c r="R36" s="24">
        <f>SUM(K36:Q36)</f>
        <v>300</v>
      </c>
      <c r="T36" s="33">
        <f>(R36+J36)*2</f>
        <v>1320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44</v>
      </c>
      <c r="D37" s="20">
        <v>22</v>
      </c>
      <c r="E37" s="1"/>
      <c r="F37" s="1">
        <v>1</v>
      </c>
      <c r="G37" s="1"/>
      <c r="H37" s="1"/>
      <c r="I37" s="1"/>
      <c r="J37" s="19">
        <f>(D37*D$60)+(E37*E$60)+(F37*F$60)+(G37*G$60)+(H37*H$60)+(I37*I$60)</f>
        <v>160</v>
      </c>
      <c r="K37" s="43" t="str">
        <f>IF(D37&gt;=100, 250, IF(D37&gt;=50, 150, IF(D37&gt;=30, 50, "")))</f>
        <v/>
      </c>
      <c r="L37" s="20" t="str">
        <f t="shared" si="0"/>
        <v/>
      </c>
      <c r="M37" s="20" t="str">
        <f t="shared" si="1"/>
        <v/>
      </c>
      <c r="N37" s="20"/>
      <c r="O37" s="20"/>
      <c r="P37" s="1"/>
      <c r="Q37" s="1"/>
      <c r="R37" s="17">
        <f>SUM(K37:Q37)</f>
        <v>0</v>
      </c>
      <c r="T37" s="14">
        <f>R37+J37</f>
        <v>160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71</v>
      </c>
      <c r="D38" s="20">
        <v>0</v>
      </c>
      <c r="E38" s="1"/>
      <c r="F38" s="1">
        <v>1</v>
      </c>
      <c r="G38" s="1"/>
      <c r="H38" s="1"/>
      <c r="I38" s="1">
        <v>1</v>
      </c>
      <c r="J38" s="19">
        <f>(D38*D$60)+(E38*E$60)+(F38*F$60)+(G38*G$60)+(H38*H$60)+(I38*I$60)</f>
        <v>0</v>
      </c>
      <c r="K38" s="43" t="str">
        <f>IF(D38&gt;=100, 250, IF(D38&gt;=50, 150, IF(D38&gt;=30, 50, "")))</f>
        <v/>
      </c>
      <c r="L38" s="20" t="str">
        <f t="shared" si="0"/>
        <v/>
      </c>
      <c r="M38" s="20" t="str">
        <f t="shared" si="1"/>
        <v/>
      </c>
      <c r="N38" s="20"/>
      <c r="O38" s="20"/>
      <c r="P38" s="1"/>
      <c r="Q38" s="1"/>
      <c r="R38" s="17">
        <f>SUM(K38:Q38)</f>
        <v>0</v>
      </c>
      <c r="T38" s="14">
        <f>R38+J38</f>
        <v>0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24</v>
      </c>
      <c r="D39" s="20">
        <v>27</v>
      </c>
      <c r="E39" s="1"/>
      <c r="F39" s="1"/>
      <c r="G39" s="1"/>
      <c r="H39" s="1">
        <v>1</v>
      </c>
      <c r="I39" s="1"/>
      <c r="J39" s="19">
        <f>(D39*D$60)+(E39*E$60)+(F39*F$60)+(G39*G$60)+(H39*H$60)+(I39*I$60)</f>
        <v>185</v>
      </c>
      <c r="K39" s="43" t="str">
        <f>IF(D39&gt;=100, 250, IF(D39&gt;=50, 150, IF(D39&gt;=30, 50, "")))</f>
        <v/>
      </c>
      <c r="L39" s="20" t="str">
        <f t="shared" si="0"/>
        <v/>
      </c>
      <c r="M39" s="20" t="str">
        <f t="shared" si="1"/>
        <v/>
      </c>
      <c r="N39" s="20"/>
      <c r="O39" s="20"/>
      <c r="P39" s="1"/>
      <c r="Q39" s="1"/>
      <c r="R39" s="17">
        <f>SUM(K39:Q39)</f>
        <v>0</v>
      </c>
      <c r="T39" s="14">
        <f>R39+J39</f>
        <v>185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119</v>
      </c>
      <c r="D40" s="12">
        <v>39</v>
      </c>
      <c r="E40" s="10">
        <v>1</v>
      </c>
      <c r="F40" s="10"/>
      <c r="G40" s="10"/>
      <c r="H40" s="10"/>
      <c r="I40" s="10"/>
      <c r="J40" s="11">
        <f>(D40*D$60)+(E40*E$60)+(F40*F$60)+(G40*G$60)+(H40*H$60)+(I40*I$60)</f>
        <v>295</v>
      </c>
      <c r="K40" s="9">
        <f>IF(D40&gt;=100, 250, IF(D40&gt;=50, 150, IF(D40&gt;=30, 50, "")))</f>
        <v>50</v>
      </c>
      <c r="L40" s="12" t="str">
        <f t="shared" si="0"/>
        <v/>
      </c>
      <c r="M40" s="12" t="str">
        <f t="shared" si="1"/>
        <v/>
      </c>
      <c r="N40" s="12"/>
      <c r="O40" s="12"/>
      <c r="P40" s="10"/>
      <c r="Q40" s="10"/>
      <c r="R40" s="13">
        <f>SUM(K40:Q40)</f>
        <v>50</v>
      </c>
      <c r="T40" s="34">
        <f>R40+J40</f>
        <v>345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2010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38</v>
      </c>
      <c r="D42" s="23">
        <v>0</v>
      </c>
      <c r="E42" s="6"/>
      <c r="F42" s="6">
        <v>1</v>
      </c>
      <c r="G42" s="6"/>
      <c r="H42" s="6">
        <v>2</v>
      </c>
      <c r="I42" s="6">
        <v>1</v>
      </c>
      <c r="J42" s="7">
        <f>(D42*D$60)+(E42*E$60)+(F42*F$60)+(G42*G$60)+(H42*H$60)+(I42*I$60)</f>
        <v>100</v>
      </c>
      <c r="K42" s="5" t="str">
        <f>IF(D42&gt;=100, 250, IF(D42&gt;=50, 150, IF(D42&gt;=30, 50, "")))</f>
        <v/>
      </c>
      <c r="L42" s="23" t="str">
        <f t="shared" si="0"/>
        <v/>
      </c>
      <c r="M42" s="23" t="str">
        <f t="shared" si="1"/>
        <v/>
      </c>
      <c r="N42" s="23"/>
      <c r="O42" s="23"/>
      <c r="P42" s="6"/>
      <c r="Q42" s="6"/>
      <c r="R42" s="24">
        <f>SUM(K42:Q42)</f>
        <v>0</v>
      </c>
      <c r="T42" s="33">
        <f>(R42+J42)*2</f>
        <v>200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45</v>
      </c>
      <c r="D43" s="20">
        <v>34</v>
      </c>
      <c r="E43" s="1"/>
      <c r="F43" s="1"/>
      <c r="G43" s="1"/>
      <c r="H43" s="1">
        <v>2</v>
      </c>
      <c r="I43" s="1"/>
      <c r="J43" s="19">
        <f>(D43*D$60)+(E43*E$60)+(F43*F$60)+(G43*G$60)+(H43*H$60)+(I43*I$60)</f>
        <v>270</v>
      </c>
      <c r="K43" s="43">
        <f>IF(D43&gt;=100, 250, IF(D43&gt;=50, 150, IF(D43&gt;=30, 50, "")))</f>
        <v>50</v>
      </c>
      <c r="L43" s="20" t="str">
        <f t="shared" si="0"/>
        <v/>
      </c>
      <c r="M43" s="20" t="str">
        <f t="shared" si="1"/>
        <v/>
      </c>
      <c r="N43" s="20"/>
      <c r="O43" s="20"/>
      <c r="P43" s="1"/>
      <c r="Q43" s="1"/>
      <c r="R43" s="17">
        <f>SUM(K43:Q43)</f>
        <v>50</v>
      </c>
      <c r="T43" s="14">
        <f>R43+J43</f>
        <v>320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41</v>
      </c>
      <c r="D44" s="20">
        <v>5</v>
      </c>
      <c r="E44" s="1">
        <v>2</v>
      </c>
      <c r="F44" s="1"/>
      <c r="G44" s="1"/>
      <c r="H44" s="1"/>
      <c r="I44" s="1"/>
      <c r="J44" s="19">
        <f>(D44*D$60)+(E44*E$60)+(F44*F$60)+(G44*G$60)+(H44*H$60)+(I44*I$60)</f>
        <v>225</v>
      </c>
      <c r="K44" s="43" t="str">
        <f>IF(D44&gt;=100, 250, IF(D44&gt;=50, 150, IF(D44&gt;=30, 50, "")))</f>
        <v/>
      </c>
      <c r="L44" s="20">
        <f t="shared" si="0"/>
        <v>50</v>
      </c>
      <c r="M44" s="20" t="str">
        <f t="shared" si="1"/>
        <v/>
      </c>
      <c r="N44" s="20"/>
      <c r="O44" s="20"/>
      <c r="P44" s="1"/>
      <c r="Q44" s="1"/>
      <c r="R44" s="17">
        <f>SUM(K44:Q44)</f>
        <v>50</v>
      </c>
      <c r="T44" s="14">
        <f>R44+J44</f>
        <v>275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54</v>
      </c>
      <c r="D45" s="20">
        <v>0</v>
      </c>
      <c r="E45" s="1">
        <v>2</v>
      </c>
      <c r="F45" s="1"/>
      <c r="G45" s="1"/>
      <c r="H45" s="1"/>
      <c r="I45" s="1">
        <v>1</v>
      </c>
      <c r="J45" s="19">
        <f>(D45*D$60)+(E45*E$60)+(F45*F$60)+(G45*G$60)+(H45*H$60)+(I45*I$60)</f>
        <v>150</v>
      </c>
      <c r="K45" s="43" t="str">
        <f>IF(D45&gt;=100, 250, IF(D45&gt;=50, 150, IF(D45&gt;=30, 50, "")))</f>
        <v/>
      </c>
      <c r="L45" s="20">
        <f t="shared" si="0"/>
        <v>50</v>
      </c>
      <c r="M45" s="20" t="str">
        <f t="shared" si="1"/>
        <v/>
      </c>
      <c r="N45" s="20"/>
      <c r="O45" s="20"/>
      <c r="P45" s="1"/>
      <c r="Q45" s="1"/>
      <c r="R45" s="17">
        <f>SUM(K45:Q45)</f>
        <v>50</v>
      </c>
      <c r="T45" s="14">
        <f>R45+J45</f>
        <v>200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83</v>
      </c>
      <c r="D46" s="12">
        <v>66</v>
      </c>
      <c r="E46" s="10"/>
      <c r="F46" s="10"/>
      <c r="G46" s="10"/>
      <c r="H46" s="10"/>
      <c r="I46" s="10"/>
      <c r="J46" s="11">
        <f>(D46*D$60)+(E46*E$60)+(F46*F$60)+(G46*G$60)+(H46*H$60)+(I46*I$60)</f>
        <v>330</v>
      </c>
      <c r="K46" s="9">
        <f>IF(D46&gt;=100, 250, IF(D46&gt;=50, 150, IF(D46&gt;=30, 50, "")))</f>
        <v>150</v>
      </c>
      <c r="L46" s="12" t="str">
        <f t="shared" si="0"/>
        <v/>
      </c>
      <c r="M46" s="12" t="str">
        <f t="shared" si="1"/>
        <v/>
      </c>
      <c r="N46" s="12"/>
      <c r="O46" s="12">
        <v>150</v>
      </c>
      <c r="P46" s="10"/>
      <c r="Q46" s="10"/>
      <c r="R46" s="13">
        <f>SUM(K46:Q46)</f>
        <v>300</v>
      </c>
      <c r="T46" s="34">
        <f>R46+J46</f>
        <v>630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1625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20</v>
      </c>
      <c r="D48" s="23">
        <v>29</v>
      </c>
      <c r="E48" s="6"/>
      <c r="F48" s="6"/>
      <c r="G48" s="6"/>
      <c r="H48" s="6">
        <v>1</v>
      </c>
      <c r="I48" s="6"/>
      <c r="J48" s="7">
        <f>(D48*D$60)+(E48*E$60)+(F48*F$60)+(G48*G$60)+(H48*H$60)+(I48*I$60)</f>
        <v>195</v>
      </c>
      <c r="K48" s="5" t="str">
        <f>IF(D48&gt;=100, 250, IF(D48&gt;=50, 150, IF(D48&gt;=30, 50, "")))</f>
        <v/>
      </c>
      <c r="L48" s="23" t="str">
        <f>IF(E48=5, 200, IF(E48=3, 150, IF(E48=2, 50, "")))</f>
        <v/>
      </c>
      <c r="M48" s="23" t="str">
        <f t="shared" si="1"/>
        <v/>
      </c>
      <c r="N48" s="23"/>
      <c r="O48" s="23"/>
      <c r="P48" s="6"/>
      <c r="Q48" s="6"/>
      <c r="R48" s="24">
        <f>SUM(K48:Q48)</f>
        <v>0</v>
      </c>
      <c r="T48" s="33">
        <f>(R48+J48)*2</f>
        <v>390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116</v>
      </c>
      <c r="D49" s="20">
        <v>15</v>
      </c>
      <c r="E49" s="1"/>
      <c r="F49" s="1"/>
      <c r="G49" s="1"/>
      <c r="H49" s="1"/>
      <c r="I49" s="1"/>
      <c r="J49" s="19">
        <f>(D49*D$60)+(E49*E$60)+(F49*F$60)+(G49*G$60)+(H49*H$60)+(I49*I$60)</f>
        <v>75</v>
      </c>
      <c r="K49" s="43" t="str">
        <f>IF(D49&gt;=100, 250, IF(D49&gt;=50, 150, IF(D49&gt;=30, 50, "")))</f>
        <v/>
      </c>
      <c r="L49" s="20" t="str">
        <f>IF(E49=5, 200, IF(E49=3, 150, IF(E49=2, 50, "")))</f>
        <v/>
      </c>
      <c r="M49" s="20" t="str">
        <f t="shared" si="1"/>
        <v/>
      </c>
      <c r="N49" s="20"/>
      <c r="O49" s="20"/>
      <c r="P49" s="1"/>
      <c r="Q49" s="1"/>
      <c r="R49" s="17">
        <f>SUM(K49:Q49)</f>
        <v>0</v>
      </c>
      <c r="T49" s="14">
        <f>R49+J49</f>
        <v>75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47</v>
      </c>
      <c r="D50" s="20">
        <v>2</v>
      </c>
      <c r="E50" s="1">
        <v>3</v>
      </c>
      <c r="F50" s="1"/>
      <c r="G50" s="1"/>
      <c r="H50" s="1">
        <v>1</v>
      </c>
      <c r="I50" s="1"/>
      <c r="J50" s="19">
        <f>(D50*D$60)+(E50*E$60)+(F50*F$60)+(G50*G$60)+(H50*H$60)+(I50*I$60)</f>
        <v>360</v>
      </c>
      <c r="K50" s="43" t="str">
        <f>IF(D50&gt;=100, 250, IF(D50&gt;=50, 150, IF(D50&gt;=30, 50, "")))</f>
        <v/>
      </c>
      <c r="L50" s="20">
        <f>IF(E50=5, 200, IF(E50=3, 150, IF(E50=2, 50, "")))</f>
        <v>150</v>
      </c>
      <c r="M50" s="20" t="str">
        <f t="shared" si="1"/>
        <v/>
      </c>
      <c r="N50" s="20"/>
      <c r="O50" s="20"/>
      <c r="P50" s="1"/>
      <c r="Q50" s="1"/>
      <c r="R50" s="17">
        <f>SUM(K50:Q50)</f>
        <v>150</v>
      </c>
      <c r="T50" s="14">
        <f>R50+J50</f>
        <v>510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62</v>
      </c>
      <c r="D51" s="20"/>
      <c r="E51" s="1">
        <v>1</v>
      </c>
      <c r="F51" s="1"/>
      <c r="G51" s="1"/>
      <c r="H51" s="1"/>
      <c r="I51" s="1"/>
      <c r="J51" s="19">
        <f>(D51*D$60)+(E51*E$60)+(F51*F$60)+(G51*G$60)+(H51*H$60)+(I51*I$60)</f>
        <v>100</v>
      </c>
      <c r="K51" s="43" t="str">
        <f>IF(D51&gt;=100, 250, IF(D51&gt;=50, 150, IF(D51&gt;=30, 50, "")))</f>
        <v/>
      </c>
      <c r="L51" s="20" t="str">
        <f>IF(E51=5, 200, IF(E51=3, 150, IF(E51=2, 50, "")))</f>
        <v/>
      </c>
      <c r="M51" s="20" t="str">
        <f t="shared" si="1"/>
        <v/>
      </c>
      <c r="N51" s="20"/>
      <c r="O51" s="20"/>
      <c r="P51" s="1"/>
      <c r="Q51" s="1"/>
      <c r="R51" s="17">
        <f>SUM(K51:Q51)</f>
        <v>0</v>
      </c>
      <c r="T51" s="14">
        <f>R51+J51</f>
        <v>100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117</v>
      </c>
      <c r="D52" s="12">
        <v>0</v>
      </c>
      <c r="E52" s="10">
        <v>2</v>
      </c>
      <c r="F52" s="10"/>
      <c r="G52" s="10"/>
      <c r="H52" s="10"/>
      <c r="I52" s="10">
        <v>1</v>
      </c>
      <c r="J52" s="11">
        <f>(D52*D$60)+(E52*E$60)+(F52*F$60)+(G52*G$60)+(H52*H$60)+(I52*I$60)</f>
        <v>150</v>
      </c>
      <c r="K52" s="9" t="str">
        <f>IF(D52&gt;=100, 250, IF(D52&gt;=50, 150, IF(D52&gt;=30, 50, "")))</f>
        <v/>
      </c>
      <c r="L52" s="12">
        <f>IF(E52=5, 200, IF(E52=3, 150, IF(E52=2, 50, "")))</f>
        <v>50</v>
      </c>
      <c r="M52" s="12" t="str">
        <f t="shared" si="1"/>
        <v/>
      </c>
      <c r="N52" s="12"/>
      <c r="O52" s="12"/>
      <c r="P52" s="10"/>
      <c r="Q52" s="10"/>
      <c r="R52" s="13">
        <f>SUM(K52:Q52)</f>
        <v>50</v>
      </c>
      <c r="T52" s="34">
        <f>R52+J52</f>
        <v>200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1275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SUM(X62:X64)</f>
        <v>1585</v>
      </c>
      <c r="Y61" s="42">
        <f>SUM(Y62:Y64)</f>
        <v>-1420</v>
      </c>
      <c r="Z61" s="42">
        <f>SUM(Z62:Z64)</f>
        <v>3430</v>
      </c>
      <c r="AA61" s="42">
        <f>SUM(AA62:AA64)</f>
        <v>-3595</v>
      </c>
    </row>
    <row r="62" spans="2:27" x14ac:dyDescent="0.3">
      <c r="B62" s="66" t="s">
        <v>95</v>
      </c>
      <c r="C62" s="38" t="s">
        <v>36</v>
      </c>
      <c r="D62" s="5">
        <v>65</v>
      </c>
      <c r="E62" s="6"/>
      <c r="F62" s="6"/>
      <c r="G62" s="6"/>
      <c r="H62" s="6"/>
      <c r="I62" s="6"/>
      <c r="J62" s="7">
        <f>(D62*D$60)+(E62*E$60)+(F62*F$60)+(G62*G$60)+(H62*H$60)+(I62*I$60)</f>
        <v>325</v>
      </c>
      <c r="K62" s="15">
        <f>IF(D62&gt;=100, 250, IF(D62&gt;=50, 150, IF(D62&gt;=30, 50, "")))</f>
        <v>150</v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150</v>
      </c>
      <c r="T62" s="14">
        <f>(R62+J62)*2</f>
        <v>950</v>
      </c>
      <c r="V62" s="28">
        <v>1</v>
      </c>
      <c r="W62" s="29">
        <v>45738</v>
      </c>
      <c r="X62" s="28">
        <v>-875</v>
      </c>
      <c r="Y62" s="28">
        <v>-175</v>
      </c>
      <c r="Z62" s="28">
        <v>2065</v>
      </c>
      <c r="AA62" s="28">
        <v>-1015</v>
      </c>
    </row>
    <row r="63" spans="2:27" x14ac:dyDescent="0.3">
      <c r="B63" s="67"/>
      <c r="C63" s="4" t="s">
        <v>51</v>
      </c>
      <c r="D63" s="18">
        <v>1</v>
      </c>
      <c r="E63" s="1"/>
      <c r="F63" s="1"/>
      <c r="G63" s="1"/>
      <c r="H63" s="1"/>
      <c r="I63" s="1"/>
      <c r="J63" s="19">
        <f>(D63*D$60)+(E63*E$60)+(F63*F$60)+(G63*G$60)+(H63*H$60)+(I63*I$60)</f>
        <v>5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5</v>
      </c>
      <c r="V63" s="28">
        <v>2</v>
      </c>
      <c r="W63" s="29">
        <v>45739</v>
      </c>
      <c r="X63" s="28">
        <v>2810</v>
      </c>
      <c r="Y63" s="28">
        <v>-815</v>
      </c>
      <c r="Z63" s="28">
        <v>-790</v>
      </c>
      <c r="AA63" s="28">
        <v>-1205</v>
      </c>
    </row>
    <row r="64" spans="2:27" x14ac:dyDescent="0.3">
      <c r="B64" s="67"/>
      <c r="C64" s="4" t="s">
        <v>23</v>
      </c>
      <c r="D64" s="18">
        <v>28</v>
      </c>
      <c r="E64" s="1">
        <v>1</v>
      </c>
      <c r="F64" s="1">
        <v>1</v>
      </c>
      <c r="G64" s="1"/>
      <c r="H64" s="1"/>
      <c r="I64" s="1"/>
      <c r="J64" s="19">
        <f>(D64*D$60)+(E64*E$60)+(F64*F$60)+(G64*G$60)+(H64*H$60)+(I64*I$60)</f>
        <v>290</v>
      </c>
      <c r="K64" s="15" t="str">
        <f>IF(D64&gt;=100, 250, IF(D64&gt;=50, 150, IF(D64&gt;=30, 50, "")))</f>
        <v/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/>
      <c r="P64" s="1"/>
      <c r="Q64" s="1"/>
      <c r="R64" s="17">
        <f>SUM(K64:Q64)</f>
        <v>0</v>
      </c>
      <c r="T64" s="14">
        <f>R64+J64</f>
        <v>290</v>
      </c>
      <c r="V64" s="28">
        <v>3</v>
      </c>
      <c r="W64" s="29">
        <v>45739</v>
      </c>
      <c r="X64" s="28">
        <f>T67-T79</f>
        <v>-350</v>
      </c>
      <c r="Y64" s="28">
        <f>T73-T79</f>
        <v>-430</v>
      </c>
      <c r="Z64" s="28">
        <f>-(X64+Y64+AA64)</f>
        <v>2155</v>
      </c>
      <c r="AA64" s="28">
        <f>T85-T79</f>
        <v>-1375</v>
      </c>
    </row>
    <row r="65" spans="2:27" x14ac:dyDescent="0.3">
      <c r="B65" s="67"/>
      <c r="C65" s="4" t="s">
        <v>68</v>
      </c>
      <c r="D65" s="18"/>
      <c r="E65" s="1">
        <v>1</v>
      </c>
      <c r="F65" s="1"/>
      <c r="G65" s="1"/>
      <c r="H65" s="1"/>
      <c r="I65" s="1"/>
      <c r="J65" s="19">
        <f>(D65*D$60)+(E65*E$60)+(F65*F$60)+(G65*G$60)+(H65*H$60)+(I65*I$60)</f>
        <v>100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79</v>
      </c>
      <c r="D66" s="9">
        <v>3</v>
      </c>
      <c r="E66" s="10"/>
      <c r="F66" s="10"/>
      <c r="G66" s="10"/>
      <c r="H66" s="10"/>
      <c r="I66" s="10"/>
      <c r="J66" s="11">
        <f>(D66*D$60)+(E66*E$60)+(F66*F$60)+(G66*G$60)+(H66*H$60)+(I66*I$60)</f>
        <v>15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1360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114</v>
      </c>
      <c r="D68" s="23">
        <v>11</v>
      </c>
      <c r="E68" s="6">
        <v>1</v>
      </c>
      <c r="F68" s="6"/>
      <c r="G68" s="6"/>
      <c r="H68" s="6">
        <v>1</v>
      </c>
      <c r="I68" s="6"/>
      <c r="J68" s="7">
        <f>(D68*D$60)+(E68*E$60)+(F68*F$60)+(G68*G$60)+(H68*H$60)+(I68*I$60)</f>
        <v>205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410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55</v>
      </c>
      <c r="D69" s="20">
        <v>31</v>
      </c>
      <c r="E69" s="1"/>
      <c r="F69" s="1"/>
      <c r="G69" s="1"/>
      <c r="H69" s="1">
        <v>1</v>
      </c>
      <c r="I69" s="1"/>
      <c r="J69" s="19">
        <f>(D69*D$60)+(E69*E$60)+(F69*F$60)+(G69*G$60)+(H69*H$60)+(I69*I$60)</f>
        <v>205</v>
      </c>
      <c r="K69" s="43">
        <f>IF(D69&gt;=100, 250, IF(D69&gt;=50, 150, IF(D69&gt;=30, 50, "")))</f>
        <v>50</v>
      </c>
      <c r="L69" s="20" t="str">
        <f>IF(E69=5, 200, IF(E69=3, 150, IF(E69=2, 50, "")))</f>
        <v/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255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88</v>
      </c>
      <c r="D70" s="20">
        <v>11</v>
      </c>
      <c r="E70" s="1"/>
      <c r="F70" s="1"/>
      <c r="G70" s="1"/>
      <c r="H70" s="1"/>
      <c r="I70" s="1"/>
      <c r="J70" s="19">
        <f>(D70*D$60)+(E70*E$60)+(F70*F$60)+(G70*G$60)+(H70*H$60)+(I70*I$60)</f>
        <v>55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55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26</v>
      </c>
      <c r="D71" s="20"/>
      <c r="E71" s="1">
        <v>4</v>
      </c>
      <c r="F71" s="1"/>
      <c r="G71" s="1"/>
      <c r="H71" s="1"/>
      <c r="I71" s="1"/>
      <c r="J71" s="19">
        <f>(D71*D$60)+(E71*E$60)+(F71*F$60)+(G71*G$60)+(H71*H$60)+(I71*I$60)</f>
        <v>400</v>
      </c>
      <c r="K71" s="43" t="str">
        <f>IF(D71&gt;=100, 250, IF(D71&gt;=50, 150, IF(D71&gt;=30, 50, "")))</f>
        <v/>
      </c>
      <c r="L71" s="20">
        <v>150</v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150</v>
      </c>
      <c r="T71" s="14">
        <f>R71+J71</f>
        <v>550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115</v>
      </c>
      <c r="D72" s="12">
        <v>2</v>
      </c>
      <c r="E72" s="10"/>
      <c r="F72" s="10"/>
      <c r="G72" s="10"/>
      <c r="H72" s="10"/>
      <c r="I72" s="10"/>
      <c r="J72" s="11">
        <f>(D72*D$60)+(E72*E$60)+(F72*F$60)+(G72*G$60)+(H72*H$60)+(I72*I$60)</f>
        <v>10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10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1280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72</v>
      </c>
      <c r="D74" s="23">
        <v>53</v>
      </c>
      <c r="E74" s="6"/>
      <c r="F74" s="6"/>
      <c r="G74" s="6"/>
      <c r="H74" s="6">
        <v>1</v>
      </c>
      <c r="I74" s="6"/>
      <c r="J74" s="7">
        <f>(D74*D$60)+(E74*E$60)+(F74*F$60)+(G74*G$60)+(H74*H$60)+(I74*I$60)</f>
        <v>315</v>
      </c>
      <c r="K74" s="5">
        <f>IF(D74&gt;=100, 250, IF(D74&gt;=50, 150, IF(D74&gt;=30, 50, "")))</f>
        <v>150</v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150</v>
      </c>
      <c r="T74" s="33">
        <f>(R74+J74)*2</f>
        <v>930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111</v>
      </c>
      <c r="D75" s="20">
        <v>13</v>
      </c>
      <c r="E75" s="1"/>
      <c r="F75" s="1">
        <v>1</v>
      </c>
      <c r="G75" s="1"/>
      <c r="H75" s="1">
        <v>1</v>
      </c>
      <c r="I75" s="1"/>
      <c r="J75" s="19">
        <f>(D75*D$60)+(E75*E$60)+(F75*F$60)+(G75*G$60)+(H75*H$60)+(I75*I$60)</f>
        <v>165</v>
      </c>
      <c r="K75" s="43" t="str">
        <f>IF(D75&gt;=100, 250, IF(D75&gt;=50, 150, IF(D75&gt;=30, 50, "")))</f>
        <v/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0</v>
      </c>
      <c r="T75" s="14">
        <f>R75+J75</f>
        <v>165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66</v>
      </c>
      <c r="D76" s="20">
        <v>9</v>
      </c>
      <c r="E76" s="1"/>
      <c r="F76" s="1"/>
      <c r="G76" s="1"/>
      <c r="H76" s="1">
        <v>2</v>
      </c>
      <c r="I76" s="1"/>
      <c r="J76" s="19">
        <f>(D76*D$60)+(E76*E$60)+(F76*F$60)+(G76*G$60)+(H76*H$60)+(I76*I$60)</f>
        <v>145</v>
      </c>
      <c r="K76" s="43" t="str">
        <f>IF(D76&gt;=100, 250, IF(D76&gt;=50, 150, IF(D76&gt;=30, 50, "")))</f>
        <v/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0</v>
      </c>
      <c r="T76" s="14">
        <f>R76+J76</f>
        <v>145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42</v>
      </c>
      <c r="D77" s="20">
        <v>4</v>
      </c>
      <c r="E77" s="1"/>
      <c r="F77" s="1"/>
      <c r="G77" s="1"/>
      <c r="H77" s="1"/>
      <c r="I77" s="1"/>
      <c r="J77" s="19">
        <f>(D77*D$60)+(E77*E$60)+(F77*F$60)+(G77*G$60)+(H77*H$60)+(I77*I$60)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77</v>
      </c>
      <c r="D78" s="12"/>
      <c r="E78" s="10">
        <v>3</v>
      </c>
      <c r="F78" s="10"/>
      <c r="G78" s="10"/>
      <c r="H78" s="10"/>
      <c r="I78" s="10"/>
      <c r="J78" s="11">
        <f>(D78*D$60)+(E78*E$60)+(F78*F$60)+(G78*G$60)+(H78*H$60)+(I78*I$60)</f>
        <v>300</v>
      </c>
      <c r="K78" s="9" t="str">
        <f>IF(D78&gt;=100, 250, IF(D78&gt;=50, 150, IF(D78&gt;=30, 50, "")))</f>
        <v/>
      </c>
      <c r="L78" s="12">
        <f>IF(E78=5, 200, IF(E78=3, 150, IF(E78=2, 50, "")))</f>
        <v>150</v>
      </c>
      <c r="M78" s="12" t="str">
        <f>IF(H78=3,100,IF(H78=5,200,""))</f>
        <v/>
      </c>
      <c r="N78" s="12"/>
      <c r="O78" s="12"/>
      <c r="P78" s="10"/>
      <c r="Q78" s="10"/>
      <c r="R78" s="13">
        <f>SUM(K78:Q78)</f>
        <v>150</v>
      </c>
      <c r="T78" s="34">
        <f>R78+J78</f>
        <v>450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1710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57</v>
      </c>
      <c r="D80" s="23">
        <v>0</v>
      </c>
      <c r="E80" s="6"/>
      <c r="F80" s="6"/>
      <c r="G80" s="6"/>
      <c r="H80" s="6"/>
      <c r="I80" s="6">
        <v>1</v>
      </c>
      <c r="J80" s="7">
        <f>(D80*D$60)+(E80*E$60)+(F80*F$60)+(G80*G$60)+(H80*H$60)+(I80*I$60)</f>
        <v>-50</v>
      </c>
      <c r="K80" s="5" t="str">
        <f>IF(D80&gt;=100, 250, IF(D80&gt;=50, 150, IF(D80&gt;=30, 50, "")))</f>
        <v/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0</v>
      </c>
      <c r="T80" s="33">
        <f>(R80+J80)*2</f>
        <v>-100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70</v>
      </c>
      <c r="D81" s="20">
        <v>29</v>
      </c>
      <c r="E81" s="1"/>
      <c r="F81" s="1"/>
      <c r="G81" s="1"/>
      <c r="H81" s="1"/>
      <c r="I81" s="1"/>
      <c r="J81" s="19">
        <f>(D81*D$60)+(E81*E$60)+(F81*F$60)+(G81*G$60)+(H81*H$60)+(I81*I$60)</f>
        <v>145</v>
      </c>
      <c r="K81" s="43" t="str">
        <f>IF(D81&gt;=100, 250, IF(D81&gt;=50, 150, IF(D81&gt;=30, 50, "")))</f>
        <v/>
      </c>
      <c r="L81" s="20" t="str">
        <f>IF(E81=5, 200, IF(E81=3, 150, IF(E81=2, 50, "")))</f>
        <v/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0</v>
      </c>
      <c r="T81" s="14">
        <f>R81+J81</f>
        <v>145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59</v>
      </c>
      <c r="D82" s="20">
        <v>17</v>
      </c>
      <c r="E82" s="1"/>
      <c r="F82" s="1"/>
      <c r="G82" s="1"/>
      <c r="H82" s="1">
        <v>1</v>
      </c>
      <c r="I82" s="1"/>
      <c r="J82" s="19">
        <f>(D82*D$60)+(E82*E$60)+(F82*F$60)+(G82*G$60)+(H82*H$60)+(I82*I$60)</f>
        <v>135</v>
      </c>
      <c r="K82" s="43" t="str">
        <f>IF(D82&gt;=100, 250, IF(D82&gt;=50, 150, IF(D82&gt;=30, 50, "")))</f>
        <v/>
      </c>
      <c r="L82" s="20" t="str">
        <f>IF(E82=5, 200, IF(E82=3, 150, IF(E82=2, 50, "")))</f>
        <v/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0</v>
      </c>
      <c r="T82" s="14">
        <f>R82+J82</f>
        <v>135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112</v>
      </c>
      <c r="D83" s="20"/>
      <c r="E83" s="1">
        <v>1</v>
      </c>
      <c r="F83" s="1"/>
      <c r="G83" s="1"/>
      <c r="H83" s="1"/>
      <c r="I83" s="1"/>
      <c r="J83" s="19">
        <f>(D83*D$60)+(E83*E$60)+(F83*F$60)+(G83*G$60)+(H83*H$60)+(I83*I$60)</f>
        <v>100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113</v>
      </c>
      <c r="D84" s="12">
        <v>1</v>
      </c>
      <c r="E84" s="10"/>
      <c r="F84" s="10"/>
      <c r="G84" s="10"/>
      <c r="H84" s="10">
        <v>1</v>
      </c>
      <c r="I84" s="10"/>
      <c r="J84" s="11">
        <f>(D84*D$60)+(E84*E$60)+(F84*F$60)+(G84*G$60)+(H84*H$60)+(I84*I$60)</f>
        <v>55</v>
      </c>
      <c r="K84" s="9" t="str">
        <f>IF(D84&gt;=100, 250, IF(D84&gt;=50, 150, IF(D84&gt;=30, 50, "")))</f>
        <v/>
      </c>
      <c r="L84" s="12" t="str">
        <f>IF(E84=5, 200, IF(E84=3, 150, IF(E84=2, 50, "")))</f>
        <v/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0</v>
      </c>
      <c r="T84" s="34">
        <f>R84+J84</f>
        <v>55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335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AA85"/>
  <sheetViews>
    <sheetView zoomScale="88" zoomScaleNormal="88" workbookViewId="0">
      <selection activeCell="W42" sqref="W42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</row>
    <row r="29" spans="2:27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-425</v>
      </c>
      <c r="Y29" s="42">
        <f>SUM(Y30:Y37)</f>
        <v>2960</v>
      </c>
      <c r="Z29" s="42">
        <f>SUM(Z30:Z37)</f>
        <v>2095</v>
      </c>
      <c r="AA29" s="42">
        <f>SUM(AA30:AA37)</f>
        <v>-4630</v>
      </c>
    </row>
    <row r="30" spans="2:27" x14ac:dyDescent="0.3">
      <c r="B30" s="66" t="s">
        <v>95</v>
      </c>
      <c r="C30" s="38" t="s">
        <v>134</v>
      </c>
      <c r="D30" s="5">
        <v>5</v>
      </c>
      <c r="E30" s="6"/>
      <c r="F30" s="6"/>
      <c r="G30" s="6"/>
      <c r="H30" s="6"/>
      <c r="I30" s="6"/>
      <c r="J30" s="7">
        <f>(D30*D$60)+(E30*E$60)+(F30*F$60)+(G30*G$60)+(H30*H$60)+(I30*I$60)</f>
        <v>25</v>
      </c>
      <c r="K30" s="15" t="str">
        <f>IF(D30&gt;=100, 250, IF(D30&gt;=50, 150, IF(D30&gt;=30, 50, "")))</f>
        <v/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0</v>
      </c>
      <c r="T30" s="14">
        <f>(R30+J30)*2</f>
        <v>50</v>
      </c>
      <c r="V30" s="28">
        <v>1</v>
      </c>
      <c r="W30" s="29">
        <v>45738</v>
      </c>
      <c r="X30" s="28">
        <v>-875</v>
      </c>
      <c r="Y30" s="28">
        <v>-175</v>
      </c>
      <c r="Z30" s="28">
        <v>2065</v>
      </c>
      <c r="AA30" s="28">
        <v>-1015</v>
      </c>
    </row>
    <row r="31" spans="2:27" x14ac:dyDescent="0.3">
      <c r="B31" s="67"/>
      <c r="C31" s="4" t="s">
        <v>135</v>
      </c>
      <c r="D31" s="18"/>
      <c r="E31" s="1">
        <v>1</v>
      </c>
      <c r="F31" s="1"/>
      <c r="G31" s="1"/>
      <c r="H31" s="1"/>
      <c r="I31" s="1"/>
      <c r="J31" s="19">
        <f>(D31*D$60)+(E31*E$60)+(F31*F$60)+(G31*G$60)+(H31*H$60)+(I31*I$60)</f>
        <v>100</v>
      </c>
      <c r="K31" s="15" t="str">
        <f>IF(D31&gt;=100, 250, IF(D31&gt;=50, 150, IF(D31&gt;=30, 50, "")))</f>
        <v/>
      </c>
      <c r="L31" s="20" t="str">
        <f t="shared" ref="L31:L46" si="0">IF(E31=5, 200, IF(E31=3, 150, IF(E31=2, 50, "")))</f>
        <v/>
      </c>
      <c r="M31" s="20" t="str">
        <f t="shared" ref="M31:M52" si="1">IF(H31=3,100,IF(H31=5,200,""))</f>
        <v/>
      </c>
      <c r="N31" s="20"/>
      <c r="O31" s="20"/>
      <c r="P31" s="1"/>
      <c r="Q31" s="1"/>
      <c r="R31" s="17">
        <f>SUM(K31:Q31)</f>
        <v>0</v>
      </c>
      <c r="T31" s="14">
        <f>R31+J31</f>
        <v>100</v>
      </c>
      <c r="V31" s="28">
        <v>2</v>
      </c>
      <c r="W31" s="29">
        <v>45739</v>
      </c>
      <c r="X31" s="28">
        <v>2810</v>
      </c>
      <c r="Y31" s="28">
        <v>-815</v>
      </c>
      <c r="Z31" s="28">
        <v>-790</v>
      </c>
      <c r="AA31" s="28">
        <v>-1205</v>
      </c>
    </row>
    <row r="32" spans="2:27" x14ac:dyDescent="0.3">
      <c r="B32" s="67"/>
      <c r="C32" s="4" t="s">
        <v>136</v>
      </c>
      <c r="D32" s="18">
        <v>47</v>
      </c>
      <c r="E32" s="1"/>
      <c r="F32" s="1"/>
      <c r="G32" s="1"/>
      <c r="H32" s="1">
        <v>1</v>
      </c>
      <c r="I32" s="1"/>
      <c r="J32" s="19">
        <f>(D32*D$60)+(E32*E$60)+(F32*F$60)+(G32*G$60)+(H32*H$60)+(I32*I$60)</f>
        <v>285</v>
      </c>
      <c r="K32" s="15">
        <f>IF(D32&gt;=100, 250, IF(D32&gt;=50, 150, IF(D32&gt;=30, 50, "")))</f>
        <v>50</v>
      </c>
      <c r="L32" s="20" t="str">
        <f t="shared" si="0"/>
        <v/>
      </c>
      <c r="M32" s="20" t="str">
        <f t="shared" si="1"/>
        <v/>
      </c>
      <c r="N32" s="20"/>
      <c r="O32" s="20"/>
      <c r="P32" s="1"/>
      <c r="Q32" s="1"/>
      <c r="R32" s="17">
        <f>SUM(K32:Q32)</f>
        <v>50</v>
      </c>
      <c r="T32" s="14">
        <f>R32+J32</f>
        <v>335</v>
      </c>
      <c r="V32" s="28">
        <v>3</v>
      </c>
      <c r="W32" s="29">
        <v>45739</v>
      </c>
      <c r="X32" s="28">
        <v>-350</v>
      </c>
      <c r="Y32" s="28">
        <v>-430</v>
      </c>
      <c r="Z32" s="28">
        <v>2155</v>
      </c>
      <c r="AA32" s="28">
        <v>-1375</v>
      </c>
    </row>
    <row r="33" spans="2:27" x14ac:dyDescent="0.3">
      <c r="B33" s="67"/>
      <c r="C33" s="4" t="s">
        <v>137</v>
      </c>
      <c r="D33" s="18">
        <v>6</v>
      </c>
      <c r="E33" s="1"/>
      <c r="F33" s="1"/>
      <c r="G33" s="1"/>
      <c r="H33" s="1"/>
      <c r="I33" s="1"/>
      <c r="J33" s="19">
        <f>(D33*D$60)+(E33*E$60)+(F33*F$60)+(G33*G$60)+(H33*H$60)+(I33*I$60)</f>
        <v>30</v>
      </c>
      <c r="K33" s="15" t="str">
        <f>IF(D33&gt;=100, 250, IF(D33&gt;=50, 150, IF(D33&gt;=30, 50, "")))</f>
        <v/>
      </c>
      <c r="L33" s="20" t="str">
        <f t="shared" si="0"/>
        <v/>
      </c>
      <c r="M33" s="20" t="str">
        <f t="shared" si="1"/>
        <v/>
      </c>
      <c r="N33" s="20"/>
      <c r="O33" s="20"/>
      <c r="P33" s="1"/>
      <c r="Q33" s="1"/>
      <c r="R33" s="17">
        <f>SUM(K33:Q33)</f>
        <v>0</v>
      </c>
      <c r="T33" s="14">
        <f>R33+J33</f>
        <v>30</v>
      </c>
      <c r="V33" s="28">
        <v>4</v>
      </c>
      <c r="W33" s="29">
        <v>45740</v>
      </c>
      <c r="X33" s="28">
        <v>-1005</v>
      </c>
      <c r="Y33" s="28">
        <v>2125</v>
      </c>
      <c r="Z33" s="28">
        <v>-385</v>
      </c>
      <c r="AA33" s="28">
        <v>-735</v>
      </c>
    </row>
    <row r="34" spans="2:27" ht="15" thickBot="1" x14ac:dyDescent="0.35">
      <c r="B34" s="68"/>
      <c r="C34" s="21" t="s">
        <v>138</v>
      </c>
      <c r="D34" s="9"/>
      <c r="E34" s="10">
        <v>3</v>
      </c>
      <c r="F34" s="10"/>
      <c r="G34" s="10"/>
      <c r="H34" s="10"/>
      <c r="I34" s="10"/>
      <c r="J34" s="11">
        <f>(D34*D$60)+(E34*E$60)+(F34*F$60)+(G34*G$60)+(H34*H$60)+(I34*I$60)</f>
        <v>300</v>
      </c>
      <c r="K34" s="12" t="str">
        <f>IF(D34&gt;=100, 250, IF(D34&gt;=50, 150, IF(D34&gt;=30, 50, "")))</f>
        <v/>
      </c>
      <c r="L34" s="12">
        <f t="shared" si="0"/>
        <v>150</v>
      </c>
      <c r="M34" s="12" t="str">
        <f t="shared" si="1"/>
        <v/>
      </c>
      <c r="N34" s="12"/>
      <c r="O34" s="12"/>
      <c r="P34" s="10"/>
      <c r="Q34" s="10"/>
      <c r="R34" s="13">
        <f>SUM(K34:Q34)</f>
        <v>150</v>
      </c>
      <c r="T34" s="22">
        <f>(R34+J34)</f>
        <v>450</v>
      </c>
      <c r="V34" s="28">
        <v>5</v>
      </c>
      <c r="W34" s="29">
        <v>45741</v>
      </c>
      <c r="X34" s="28">
        <f>T35-T41</f>
        <v>-1005</v>
      </c>
      <c r="Y34" s="28">
        <f>-(X34+Z34+AA34)</f>
        <v>2255</v>
      </c>
      <c r="Z34" s="28">
        <f>T47-T41</f>
        <v>-950</v>
      </c>
      <c r="AA34" s="28">
        <f>T53-T41</f>
        <v>-300</v>
      </c>
    </row>
    <row r="35" spans="2:27" ht="15" thickBot="1" x14ac:dyDescent="0.35">
      <c r="T35" s="37">
        <f>SUM(T30:T34)</f>
        <v>965</v>
      </c>
      <c r="V35" s="28">
        <v>6</v>
      </c>
      <c r="W35" s="29"/>
      <c r="X35" s="28"/>
      <c r="Y35" s="28"/>
      <c r="Z35" s="28"/>
      <c r="AA35" s="28"/>
    </row>
    <row r="36" spans="2:27" x14ac:dyDescent="0.3">
      <c r="B36" s="66" t="s">
        <v>96</v>
      </c>
      <c r="C36" s="39" t="s">
        <v>129</v>
      </c>
      <c r="D36" s="23">
        <v>97</v>
      </c>
      <c r="E36" s="6"/>
      <c r="F36" s="6"/>
      <c r="G36" s="6"/>
      <c r="H36" s="6"/>
      <c r="I36" s="6"/>
      <c r="J36" s="7">
        <f>(D36*D$60)+(E36*E$60)+(F36*F$60)+(G36*G$60)+(H36*H$60)+(I36*I$60)</f>
        <v>485</v>
      </c>
      <c r="K36" s="5">
        <f>IF(D36&gt;=100, 250, IF(D36&gt;=50, 150, IF(D36&gt;=30, 50, "")))</f>
        <v>150</v>
      </c>
      <c r="L36" s="23" t="str">
        <f t="shared" si="0"/>
        <v/>
      </c>
      <c r="M36" s="23" t="str">
        <f t="shared" si="1"/>
        <v/>
      </c>
      <c r="N36" s="23"/>
      <c r="O36" s="23">
        <v>150</v>
      </c>
      <c r="P36" s="6"/>
      <c r="Q36" s="6"/>
      <c r="R36" s="24">
        <f>SUM(K36:Q36)</f>
        <v>300</v>
      </c>
      <c r="T36" s="33">
        <f>(R36+J36)*2</f>
        <v>1570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130</v>
      </c>
      <c r="D37" s="20">
        <v>0</v>
      </c>
      <c r="E37" s="1">
        <v>1</v>
      </c>
      <c r="F37" s="1"/>
      <c r="G37" s="1"/>
      <c r="H37" s="1"/>
      <c r="I37" s="1">
        <v>1</v>
      </c>
      <c r="J37" s="19">
        <f>(D37*D$60)+(E37*E$60)+(F37*F$60)+(G37*G$60)+(H37*H$60)+(I37*I$60)</f>
        <v>50</v>
      </c>
      <c r="K37" s="43" t="str">
        <f>IF(D37&gt;=100, 250, IF(D37&gt;=50, 150, IF(D37&gt;=30, 50, "")))</f>
        <v/>
      </c>
      <c r="L37" s="20" t="str">
        <f t="shared" si="0"/>
        <v/>
      </c>
      <c r="M37" s="20" t="str">
        <f t="shared" si="1"/>
        <v/>
      </c>
      <c r="N37" s="20"/>
      <c r="O37" s="20"/>
      <c r="P37" s="1"/>
      <c r="Q37" s="1"/>
      <c r="R37" s="17">
        <f>SUM(K37:Q37)</f>
        <v>0</v>
      </c>
      <c r="T37" s="14">
        <f>R37+J37</f>
        <v>50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131</v>
      </c>
      <c r="D38" s="20"/>
      <c r="E38" s="1">
        <v>2</v>
      </c>
      <c r="F38" s="1">
        <v>2</v>
      </c>
      <c r="G38" s="1"/>
      <c r="H38" s="1"/>
      <c r="I38" s="1"/>
      <c r="J38" s="19">
        <f>(D38*D$60)+(E38*E$60)+(F38*F$60)+(G38*G$60)+(H38*H$60)+(I38*I$60)</f>
        <v>300</v>
      </c>
      <c r="K38" s="43" t="str">
        <f>IF(D38&gt;=100, 250, IF(D38&gt;=50, 150, IF(D38&gt;=30, 50, "")))</f>
        <v/>
      </c>
      <c r="L38" s="20">
        <f t="shared" si="0"/>
        <v>50</v>
      </c>
      <c r="M38" s="20" t="str">
        <f t="shared" si="1"/>
        <v/>
      </c>
      <c r="N38" s="20"/>
      <c r="O38" s="20"/>
      <c r="P38" s="1"/>
      <c r="Q38" s="1"/>
      <c r="R38" s="17">
        <f>SUM(K38:Q38)</f>
        <v>50</v>
      </c>
      <c r="T38" s="14">
        <f>R38+J38</f>
        <v>350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132</v>
      </c>
      <c r="D39" s="20"/>
      <c r="E39" s="1"/>
      <c r="F39" s="1"/>
      <c r="G39" s="1"/>
      <c r="H39" s="1"/>
      <c r="I39" s="1"/>
      <c r="J39" s="19">
        <f>(D39*D$60)+(E39*E$60)+(F39*F$60)+(G39*G$60)+(H39*H$60)+(I39*I$60)</f>
        <v>0</v>
      </c>
      <c r="K39" s="43" t="str">
        <f>IF(D39&gt;=100, 250, IF(D39&gt;=50, 150, IF(D39&gt;=30, 50, "")))</f>
        <v/>
      </c>
      <c r="L39" s="20" t="str">
        <f t="shared" si="0"/>
        <v/>
      </c>
      <c r="M39" s="20" t="str">
        <f t="shared" si="1"/>
        <v/>
      </c>
      <c r="N39" s="20"/>
      <c r="O39" s="20"/>
      <c r="P39" s="1"/>
      <c r="Q39" s="1"/>
      <c r="R39" s="17">
        <f>SUM(K39:Q39)</f>
        <v>0</v>
      </c>
      <c r="T39" s="14">
        <f>R39+J39</f>
        <v>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133</v>
      </c>
      <c r="D40" s="12"/>
      <c r="E40" s="10"/>
      <c r="F40" s="10"/>
      <c r="G40" s="10"/>
      <c r="H40" s="10"/>
      <c r="I40" s="10"/>
      <c r="J40" s="11">
        <f>(D40*D$60)+(E40*E$60)+(F40*F$60)+(G40*G$60)+(H40*H$60)+(I40*I$60)</f>
        <v>0</v>
      </c>
      <c r="K40" s="9" t="str">
        <f>IF(D40&gt;=100, 250, IF(D40&gt;=50, 150, IF(D40&gt;=30, 50, "")))</f>
        <v/>
      </c>
      <c r="L40" s="12" t="str">
        <f t="shared" si="0"/>
        <v/>
      </c>
      <c r="M40" s="12" t="str">
        <f t="shared" si="1"/>
        <v/>
      </c>
      <c r="N40" s="12"/>
      <c r="O40" s="12"/>
      <c r="P40" s="10"/>
      <c r="Q40" s="10"/>
      <c r="R40" s="13">
        <f>SUM(K40:Q40)</f>
        <v>0</v>
      </c>
      <c r="T40" s="34">
        <f>R40+J40</f>
        <v>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1970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125</v>
      </c>
      <c r="D42" s="23">
        <v>54</v>
      </c>
      <c r="E42" s="6"/>
      <c r="F42" s="6"/>
      <c r="G42" s="6"/>
      <c r="H42" s="6"/>
      <c r="I42" s="6"/>
      <c r="J42" s="7">
        <f>(D42*D$60)+(E42*E$60)+(F42*F$60)+(G42*G$60)+(H42*H$60)+(I42*I$60)</f>
        <v>270</v>
      </c>
      <c r="K42" s="5">
        <f>IF(D42&gt;=100, 250, IF(D42&gt;=50, 150, IF(D42&gt;=30, 50, "")))</f>
        <v>150</v>
      </c>
      <c r="L42" s="23" t="str">
        <f t="shared" si="0"/>
        <v/>
      </c>
      <c r="M42" s="23" t="str">
        <f t="shared" si="1"/>
        <v/>
      </c>
      <c r="N42" s="23"/>
      <c r="O42" s="23"/>
      <c r="P42" s="6"/>
      <c r="Q42" s="6"/>
      <c r="R42" s="24">
        <f>SUM(K42:Q42)</f>
        <v>150</v>
      </c>
      <c r="T42" s="33">
        <f>(R42+J42)*2</f>
        <v>840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126</v>
      </c>
      <c r="D43" s="20">
        <v>20</v>
      </c>
      <c r="E43" s="1"/>
      <c r="F43" s="1"/>
      <c r="G43" s="1"/>
      <c r="H43" s="1"/>
      <c r="I43" s="1"/>
      <c r="J43" s="19">
        <f>(D43*D$60)+(E43*E$60)+(F43*F$60)+(G43*G$60)+(H43*H$60)+(I43*I$60)</f>
        <v>100</v>
      </c>
      <c r="K43" s="43" t="str">
        <f>IF(D43&gt;=100, 250, IF(D43&gt;=50, 150, IF(D43&gt;=30, 50, "")))</f>
        <v/>
      </c>
      <c r="L43" s="20" t="str">
        <f t="shared" si="0"/>
        <v/>
      </c>
      <c r="M43" s="20" t="str">
        <f t="shared" si="1"/>
        <v/>
      </c>
      <c r="N43" s="20"/>
      <c r="O43" s="20"/>
      <c r="P43" s="1"/>
      <c r="Q43" s="1"/>
      <c r="R43" s="17">
        <f>SUM(K43:Q43)</f>
        <v>0</v>
      </c>
      <c r="T43" s="14">
        <f>R43+J43</f>
        <v>100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127</v>
      </c>
      <c r="D44" s="20"/>
      <c r="E44" s="1"/>
      <c r="F44" s="1"/>
      <c r="G44" s="1"/>
      <c r="H44" s="1"/>
      <c r="I44" s="1"/>
      <c r="J44" s="19">
        <f>(D44*D$60)+(E44*E$60)+(F44*F$60)+(G44*G$60)+(H44*H$60)+(I44*I$60)</f>
        <v>0</v>
      </c>
      <c r="K44" s="43" t="str">
        <f>IF(D44&gt;=100, 250, IF(D44&gt;=50, 150, IF(D44&gt;=30, 50, "")))</f>
        <v/>
      </c>
      <c r="L44" s="20" t="str">
        <f t="shared" si="0"/>
        <v/>
      </c>
      <c r="M44" s="20" t="str">
        <f t="shared" si="1"/>
        <v/>
      </c>
      <c r="N44" s="20"/>
      <c r="O44" s="20"/>
      <c r="P44" s="1"/>
      <c r="Q44" s="1"/>
      <c r="R44" s="17">
        <f>SUM(K44:Q44)</f>
        <v>0</v>
      </c>
      <c r="T44" s="14">
        <f>R44+J44</f>
        <v>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128</v>
      </c>
      <c r="D45" s="20">
        <v>16</v>
      </c>
      <c r="E45" s="1"/>
      <c r="F45" s="1"/>
      <c r="G45" s="1"/>
      <c r="H45" s="1"/>
      <c r="I45" s="1"/>
      <c r="J45" s="19">
        <f>(D45*D$60)+(E45*E$60)+(F45*F$60)+(G45*G$60)+(H45*H$60)+(I45*I$60)</f>
        <v>80</v>
      </c>
      <c r="K45" s="43" t="str">
        <f>IF(D45&gt;=100, 250, IF(D45&gt;=50, 150, IF(D45&gt;=30, 50, "")))</f>
        <v/>
      </c>
      <c r="L45" s="20" t="str">
        <f t="shared" si="0"/>
        <v/>
      </c>
      <c r="M45" s="20" t="str">
        <f t="shared" si="1"/>
        <v/>
      </c>
      <c r="N45" s="20"/>
      <c r="O45" s="20"/>
      <c r="P45" s="1"/>
      <c r="Q45" s="1"/>
      <c r="R45" s="17">
        <f>SUM(K45:Q45)</f>
        <v>0</v>
      </c>
      <c r="T45" s="14">
        <f>R45+J45</f>
        <v>80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21</v>
      </c>
      <c r="D46" s="12"/>
      <c r="E46" s="10"/>
      <c r="F46" s="10"/>
      <c r="G46" s="10"/>
      <c r="H46" s="10"/>
      <c r="I46" s="10"/>
      <c r="J46" s="11">
        <f>(D46*D$60)+(E46*E$60)+(F46*F$60)+(G46*G$60)+(H46*H$60)+(I46*I$60)</f>
        <v>0</v>
      </c>
      <c r="K46" s="9" t="str">
        <f>IF(D46&gt;=100, 250, IF(D46&gt;=50, 150, IF(D46&gt;=30, 50, "")))</f>
        <v/>
      </c>
      <c r="L46" s="12" t="str">
        <f t="shared" si="0"/>
        <v/>
      </c>
      <c r="M46" s="12" t="str">
        <f t="shared" si="1"/>
        <v/>
      </c>
      <c r="N46" s="12"/>
      <c r="O46" s="12"/>
      <c r="P46" s="10"/>
      <c r="Q46" s="10"/>
      <c r="R46" s="13">
        <f>SUM(K46:Q46)</f>
        <v>0</v>
      </c>
      <c r="T46" s="34">
        <f>R46+J46</f>
        <v>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1020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120</v>
      </c>
      <c r="D48" s="23">
        <v>33</v>
      </c>
      <c r="E48" s="6"/>
      <c r="F48" s="6"/>
      <c r="G48" s="6"/>
      <c r="H48" s="6"/>
      <c r="I48" s="6"/>
      <c r="J48" s="7">
        <f>(D48*D$60)+(E48*E$60)+(F48*F$60)+(G48*G$60)+(H48*H$60)+(I48*I$60)</f>
        <v>165</v>
      </c>
      <c r="K48" s="5">
        <f>IF(D48&gt;=100, 250, IF(D48&gt;=50, 150, IF(D48&gt;=30, 50, "")))</f>
        <v>50</v>
      </c>
      <c r="L48" s="23" t="str">
        <f>IF(E48=5, 200, IF(E48=3, 150, IF(E48=2, 50, "")))</f>
        <v/>
      </c>
      <c r="M48" s="23" t="str">
        <f t="shared" si="1"/>
        <v/>
      </c>
      <c r="N48" s="23"/>
      <c r="O48" s="23"/>
      <c r="P48" s="6"/>
      <c r="Q48" s="6"/>
      <c r="R48" s="24">
        <f>SUM(K48:Q48)</f>
        <v>50</v>
      </c>
      <c r="T48" s="33">
        <f>(R48+J48)*2</f>
        <v>430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121</v>
      </c>
      <c r="D49" s="20">
        <v>74</v>
      </c>
      <c r="E49" s="1"/>
      <c r="F49" s="1"/>
      <c r="G49" s="1"/>
      <c r="H49" s="1">
        <v>1</v>
      </c>
      <c r="I49" s="1"/>
      <c r="J49" s="19">
        <f>(D49*D$60)+(E49*E$60)+(F49*F$60)+(G49*G$60)+(H49*H$60)+(I49*I$60)</f>
        <v>420</v>
      </c>
      <c r="K49" s="43">
        <f>IF(D49&gt;=100, 250, IF(D49&gt;=50, 150, IF(D49&gt;=30, 50, "")))</f>
        <v>150</v>
      </c>
      <c r="L49" s="20" t="str">
        <f>IF(E49=5, 200, IF(E49=3, 150, IF(E49=2, 50, "")))</f>
        <v/>
      </c>
      <c r="M49" s="20" t="str">
        <f t="shared" si="1"/>
        <v/>
      </c>
      <c r="N49" s="20"/>
      <c r="O49" s="20">
        <v>150</v>
      </c>
      <c r="P49" s="1"/>
      <c r="Q49" s="1"/>
      <c r="R49" s="17">
        <f>SUM(K49:Q49)</f>
        <v>300</v>
      </c>
      <c r="T49" s="14">
        <f>R49+J49</f>
        <v>720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122</v>
      </c>
      <c r="D50" s="20"/>
      <c r="E50" s="1">
        <v>1</v>
      </c>
      <c r="F50" s="1"/>
      <c r="G50" s="1"/>
      <c r="H50" s="1"/>
      <c r="I50" s="1"/>
      <c r="J50" s="19">
        <f>(D50*D$60)+(E50*E$60)+(F50*F$60)+(G50*G$60)+(H50*H$60)+(I50*I$60)</f>
        <v>100</v>
      </c>
      <c r="K50" s="43" t="str">
        <f>IF(D50&gt;=100, 250, IF(D50&gt;=50, 150, IF(D50&gt;=30, 50, "")))</f>
        <v/>
      </c>
      <c r="L50" s="20" t="str">
        <f>IF(E50=5, 200, IF(E50=3, 150, IF(E50=2, 50, "")))</f>
        <v/>
      </c>
      <c r="M50" s="20" t="str">
        <f t="shared" si="1"/>
        <v/>
      </c>
      <c r="N50" s="20"/>
      <c r="O50" s="20"/>
      <c r="P50" s="1"/>
      <c r="Q50" s="1"/>
      <c r="R50" s="17">
        <f>SUM(K50:Q50)</f>
        <v>0</v>
      </c>
      <c r="T50" s="14">
        <f>R50+J50</f>
        <v>100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123</v>
      </c>
      <c r="D51" s="20"/>
      <c r="E51" s="1">
        <v>1</v>
      </c>
      <c r="F51" s="1"/>
      <c r="G51" s="1"/>
      <c r="H51" s="1"/>
      <c r="I51" s="1"/>
      <c r="J51" s="19">
        <f>(D51*D$60)+(E51*E$60)+(F51*F$60)+(G51*G$60)+(H51*H$60)+(I51*I$60)</f>
        <v>100</v>
      </c>
      <c r="K51" s="43" t="str">
        <f>IF(D51&gt;=100, 250, IF(D51&gt;=50, 150, IF(D51&gt;=30, 50, "")))</f>
        <v/>
      </c>
      <c r="L51" s="20" t="str">
        <f>IF(E51=5, 200, IF(E51=3, 150, IF(E51=2, 50, "")))</f>
        <v/>
      </c>
      <c r="M51" s="20" t="str">
        <f t="shared" si="1"/>
        <v/>
      </c>
      <c r="N51" s="20"/>
      <c r="O51" s="20"/>
      <c r="P51" s="1"/>
      <c r="Q51" s="1"/>
      <c r="R51" s="17">
        <f>SUM(K51:Q51)</f>
        <v>0</v>
      </c>
      <c r="T51" s="14">
        <f>R51+J51</f>
        <v>100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124</v>
      </c>
      <c r="D52" s="12">
        <v>44</v>
      </c>
      <c r="E52" s="10"/>
      <c r="F52" s="10"/>
      <c r="G52" s="10"/>
      <c r="H52" s="10">
        <v>1</v>
      </c>
      <c r="I52" s="10"/>
      <c r="J52" s="11">
        <f>(D52*D$60)+(E52*E$60)+(F52*F$60)+(G52*G$60)+(H52*H$60)+(I52*I$60)</f>
        <v>270</v>
      </c>
      <c r="K52" s="9">
        <f>IF(D52&gt;=100, 250, IF(D52&gt;=50, 150, IF(D52&gt;=30, 50, "")))</f>
        <v>50</v>
      </c>
      <c r="L52" s="12" t="str">
        <f>IF(E52=5, 200, IF(E52=3, 150, IF(E52=2, 50, "")))</f>
        <v/>
      </c>
      <c r="M52" s="12" t="str">
        <f t="shared" si="1"/>
        <v/>
      </c>
      <c r="N52" s="12"/>
      <c r="O52" s="12"/>
      <c r="P52" s="10"/>
      <c r="Q52" s="10"/>
      <c r="R52" s="13">
        <f>SUM(K52:Q52)</f>
        <v>50</v>
      </c>
      <c r="T52" s="34">
        <f>R52+J52</f>
        <v>320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1670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SUM(X62:X64)</f>
        <v>1585</v>
      </c>
      <c r="Y61" s="42">
        <f>SUM(Y62:Y64)</f>
        <v>-1420</v>
      </c>
      <c r="Z61" s="42">
        <f>SUM(Z62:Z64)</f>
        <v>3430</v>
      </c>
      <c r="AA61" s="42">
        <f>SUM(AA62:AA64)</f>
        <v>-3595</v>
      </c>
    </row>
    <row r="62" spans="2:27" x14ac:dyDescent="0.3">
      <c r="B62" s="66" t="s">
        <v>95</v>
      </c>
      <c r="C62" s="38" t="s">
        <v>36</v>
      </c>
      <c r="D62" s="5">
        <v>65</v>
      </c>
      <c r="E62" s="6"/>
      <c r="F62" s="6"/>
      <c r="G62" s="6"/>
      <c r="H62" s="6"/>
      <c r="I62" s="6"/>
      <c r="J62" s="7">
        <f>(D62*D$60)+(E62*E$60)+(F62*F$60)+(G62*G$60)+(H62*H$60)+(I62*I$60)</f>
        <v>325</v>
      </c>
      <c r="K62" s="15">
        <f>IF(D62&gt;=100, 250, IF(D62&gt;=50, 150, IF(D62&gt;=30, 50, "")))</f>
        <v>150</v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150</v>
      </c>
      <c r="T62" s="14">
        <f>(R62+J62)*2</f>
        <v>950</v>
      </c>
      <c r="V62" s="28">
        <v>1</v>
      </c>
      <c r="W62" s="29">
        <v>45738</v>
      </c>
      <c r="X62" s="28">
        <v>-875</v>
      </c>
      <c r="Y62" s="28">
        <v>-175</v>
      </c>
      <c r="Z62" s="28">
        <v>2065</v>
      </c>
      <c r="AA62" s="28">
        <v>-1015</v>
      </c>
    </row>
    <row r="63" spans="2:27" x14ac:dyDescent="0.3">
      <c r="B63" s="67"/>
      <c r="C63" s="4" t="s">
        <v>51</v>
      </c>
      <c r="D63" s="18">
        <v>1</v>
      </c>
      <c r="E63" s="1"/>
      <c r="F63" s="1"/>
      <c r="G63" s="1"/>
      <c r="H63" s="1"/>
      <c r="I63" s="1"/>
      <c r="J63" s="19">
        <f>(D63*D$60)+(E63*E$60)+(F63*F$60)+(G63*G$60)+(H63*H$60)+(I63*I$60)</f>
        <v>5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5</v>
      </c>
      <c r="V63" s="28">
        <v>2</v>
      </c>
      <c r="W63" s="29">
        <v>45739</v>
      </c>
      <c r="X63" s="28">
        <v>2810</v>
      </c>
      <c r="Y63" s="28">
        <v>-815</v>
      </c>
      <c r="Z63" s="28">
        <v>-790</v>
      </c>
      <c r="AA63" s="28">
        <v>-1205</v>
      </c>
    </row>
    <row r="64" spans="2:27" x14ac:dyDescent="0.3">
      <c r="B64" s="67"/>
      <c r="C64" s="4" t="s">
        <v>23</v>
      </c>
      <c r="D64" s="18">
        <v>28</v>
      </c>
      <c r="E64" s="1">
        <v>1</v>
      </c>
      <c r="F64" s="1">
        <v>1</v>
      </c>
      <c r="G64" s="1"/>
      <c r="H64" s="1"/>
      <c r="I64" s="1"/>
      <c r="J64" s="19">
        <f>(D64*D$60)+(E64*E$60)+(F64*F$60)+(G64*G$60)+(H64*H$60)+(I64*I$60)</f>
        <v>290</v>
      </c>
      <c r="K64" s="15" t="str">
        <f>IF(D64&gt;=100, 250, IF(D64&gt;=50, 150, IF(D64&gt;=30, 50, "")))</f>
        <v/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/>
      <c r="P64" s="1"/>
      <c r="Q64" s="1"/>
      <c r="R64" s="17">
        <f>SUM(K64:Q64)</f>
        <v>0</v>
      </c>
      <c r="T64" s="14">
        <f>R64+J64</f>
        <v>290</v>
      </c>
      <c r="V64" s="28">
        <v>3</v>
      </c>
      <c r="W64" s="29">
        <v>45739</v>
      </c>
      <c r="X64" s="28">
        <f>T67-T79</f>
        <v>-350</v>
      </c>
      <c r="Y64" s="28">
        <f>T73-T79</f>
        <v>-430</v>
      </c>
      <c r="Z64" s="28">
        <f>-(X64+Y64+AA64)</f>
        <v>2155</v>
      </c>
      <c r="AA64" s="28">
        <f>T85-T79</f>
        <v>-1375</v>
      </c>
    </row>
    <row r="65" spans="2:27" x14ac:dyDescent="0.3">
      <c r="B65" s="67"/>
      <c r="C65" s="4" t="s">
        <v>68</v>
      </c>
      <c r="D65" s="18"/>
      <c r="E65" s="1">
        <v>1</v>
      </c>
      <c r="F65" s="1"/>
      <c r="G65" s="1"/>
      <c r="H65" s="1"/>
      <c r="I65" s="1"/>
      <c r="J65" s="19">
        <f>(D65*D$60)+(E65*E$60)+(F65*F$60)+(G65*G$60)+(H65*H$60)+(I65*I$60)</f>
        <v>100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79</v>
      </c>
      <c r="D66" s="9">
        <v>3</v>
      </c>
      <c r="E66" s="10"/>
      <c r="F66" s="10"/>
      <c r="G66" s="10"/>
      <c r="H66" s="10"/>
      <c r="I66" s="10"/>
      <c r="J66" s="11">
        <f>(D66*D$60)+(E66*E$60)+(F66*F$60)+(G66*G$60)+(H66*H$60)+(I66*I$60)</f>
        <v>15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1360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114</v>
      </c>
      <c r="D68" s="23">
        <v>11</v>
      </c>
      <c r="E68" s="6">
        <v>1</v>
      </c>
      <c r="F68" s="6"/>
      <c r="G68" s="6"/>
      <c r="H68" s="6">
        <v>1</v>
      </c>
      <c r="I68" s="6"/>
      <c r="J68" s="7">
        <f>(D68*D$60)+(E68*E$60)+(F68*F$60)+(G68*G$60)+(H68*H$60)+(I68*I$60)</f>
        <v>205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410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55</v>
      </c>
      <c r="D69" s="20">
        <v>31</v>
      </c>
      <c r="E69" s="1"/>
      <c r="F69" s="1"/>
      <c r="G69" s="1"/>
      <c r="H69" s="1">
        <v>1</v>
      </c>
      <c r="I69" s="1"/>
      <c r="J69" s="19">
        <f>(D69*D$60)+(E69*E$60)+(F69*F$60)+(G69*G$60)+(H69*H$60)+(I69*I$60)</f>
        <v>205</v>
      </c>
      <c r="K69" s="43">
        <f>IF(D69&gt;=100, 250, IF(D69&gt;=50, 150, IF(D69&gt;=30, 50, "")))</f>
        <v>50</v>
      </c>
      <c r="L69" s="20" t="str">
        <f>IF(E69=5, 200, IF(E69=3, 150, IF(E69=2, 50, "")))</f>
        <v/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255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88</v>
      </c>
      <c r="D70" s="20">
        <v>11</v>
      </c>
      <c r="E70" s="1"/>
      <c r="F70" s="1"/>
      <c r="G70" s="1"/>
      <c r="H70" s="1"/>
      <c r="I70" s="1"/>
      <c r="J70" s="19">
        <f>(D70*D$60)+(E70*E$60)+(F70*F$60)+(G70*G$60)+(H70*H$60)+(I70*I$60)</f>
        <v>55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55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26</v>
      </c>
      <c r="D71" s="20"/>
      <c r="E71" s="1">
        <v>4</v>
      </c>
      <c r="F71" s="1"/>
      <c r="G71" s="1"/>
      <c r="H71" s="1"/>
      <c r="I71" s="1"/>
      <c r="J71" s="19">
        <f>(D71*D$60)+(E71*E$60)+(F71*F$60)+(G71*G$60)+(H71*H$60)+(I71*I$60)</f>
        <v>400</v>
      </c>
      <c r="K71" s="43" t="str">
        <f>IF(D71&gt;=100, 250, IF(D71&gt;=50, 150, IF(D71&gt;=30, 50, "")))</f>
        <v/>
      </c>
      <c r="L71" s="20">
        <v>150</v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150</v>
      </c>
      <c r="T71" s="14">
        <f>R71+J71</f>
        <v>550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115</v>
      </c>
      <c r="D72" s="12">
        <v>2</v>
      </c>
      <c r="E72" s="10"/>
      <c r="F72" s="10"/>
      <c r="G72" s="10"/>
      <c r="H72" s="10"/>
      <c r="I72" s="10"/>
      <c r="J72" s="11">
        <f>(D72*D$60)+(E72*E$60)+(F72*F$60)+(G72*G$60)+(H72*H$60)+(I72*I$60)</f>
        <v>10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10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1280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72</v>
      </c>
      <c r="D74" s="23">
        <v>53</v>
      </c>
      <c r="E74" s="6"/>
      <c r="F74" s="6"/>
      <c r="G74" s="6"/>
      <c r="H74" s="6">
        <v>1</v>
      </c>
      <c r="I74" s="6"/>
      <c r="J74" s="7">
        <f>(D74*D$60)+(E74*E$60)+(F74*F$60)+(G74*G$60)+(H74*H$60)+(I74*I$60)</f>
        <v>315</v>
      </c>
      <c r="K74" s="5">
        <f>IF(D74&gt;=100, 250, IF(D74&gt;=50, 150, IF(D74&gt;=30, 50, "")))</f>
        <v>150</v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150</v>
      </c>
      <c r="T74" s="33">
        <f>(R74+J74)*2</f>
        <v>930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111</v>
      </c>
      <c r="D75" s="20">
        <v>13</v>
      </c>
      <c r="E75" s="1"/>
      <c r="F75" s="1">
        <v>1</v>
      </c>
      <c r="G75" s="1"/>
      <c r="H75" s="1">
        <v>1</v>
      </c>
      <c r="I75" s="1"/>
      <c r="J75" s="19">
        <f>(D75*D$60)+(E75*E$60)+(F75*F$60)+(G75*G$60)+(H75*H$60)+(I75*I$60)</f>
        <v>165</v>
      </c>
      <c r="K75" s="43" t="str">
        <f>IF(D75&gt;=100, 250, IF(D75&gt;=50, 150, IF(D75&gt;=30, 50, "")))</f>
        <v/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0</v>
      </c>
      <c r="T75" s="14">
        <f>R75+J75</f>
        <v>165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66</v>
      </c>
      <c r="D76" s="20">
        <v>9</v>
      </c>
      <c r="E76" s="1"/>
      <c r="F76" s="1"/>
      <c r="G76" s="1"/>
      <c r="H76" s="1">
        <v>2</v>
      </c>
      <c r="I76" s="1"/>
      <c r="J76" s="19">
        <f>(D76*D$60)+(E76*E$60)+(F76*F$60)+(G76*G$60)+(H76*H$60)+(I76*I$60)</f>
        <v>145</v>
      </c>
      <c r="K76" s="43" t="str">
        <f>IF(D76&gt;=100, 250, IF(D76&gt;=50, 150, IF(D76&gt;=30, 50, "")))</f>
        <v/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0</v>
      </c>
      <c r="T76" s="14">
        <f>R76+J76</f>
        <v>145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42</v>
      </c>
      <c r="D77" s="20">
        <v>4</v>
      </c>
      <c r="E77" s="1"/>
      <c r="F77" s="1"/>
      <c r="G77" s="1"/>
      <c r="H77" s="1"/>
      <c r="I77" s="1"/>
      <c r="J77" s="19">
        <f>(D77*D$60)+(E77*E$60)+(F77*F$60)+(G77*G$60)+(H77*H$60)+(I77*I$60)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77</v>
      </c>
      <c r="D78" s="12"/>
      <c r="E78" s="10">
        <v>3</v>
      </c>
      <c r="F78" s="10"/>
      <c r="G78" s="10"/>
      <c r="H78" s="10"/>
      <c r="I78" s="10"/>
      <c r="J78" s="11">
        <f>(D78*D$60)+(E78*E$60)+(F78*F$60)+(G78*G$60)+(H78*H$60)+(I78*I$60)</f>
        <v>300</v>
      </c>
      <c r="K78" s="9" t="str">
        <f>IF(D78&gt;=100, 250, IF(D78&gt;=50, 150, IF(D78&gt;=30, 50, "")))</f>
        <v/>
      </c>
      <c r="L78" s="12">
        <f>IF(E78=5, 200, IF(E78=3, 150, IF(E78=2, 50, "")))</f>
        <v>150</v>
      </c>
      <c r="M78" s="12" t="str">
        <f>IF(H78=3,100,IF(H78=5,200,""))</f>
        <v/>
      </c>
      <c r="N78" s="12"/>
      <c r="O78" s="12"/>
      <c r="P78" s="10"/>
      <c r="Q78" s="10"/>
      <c r="R78" s="13">
        <f>SUM(K78:Q78)</f>
        <v>150</v>
      </c>
      <c r="T78" s="34">
        <f>R78+J78</f>
        <v>450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1710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57</v>
      </c>
      <c r="D80" s="23">
        <v>0</v>
      </c>
      <c r="E80" s="6"/>
      <c r="F80" s="6"/>
      <c r="G80" s="6"/>
      <c r="H80" s="6"/>
      <c r="I80" s="6">
        <v>1</v>
      </c>
      <c r="J80" s="7">
        <f>(D80*D$60)+(E80*E$60)+(F80*F$60)+(G80*G$60)+(H80*H$60)+(I80*I$60)</f>
        <v>-50</v>
      </c>
      <c r="K80" s="5" t="str">
        <f>IF(D80&gt;=100, 250, IF(D80&gt;=50, 150, IF(D80&gt;=30, 50, "")))</f>
        <v/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0</v>
      </c>
      <c r="T80" s="33">
        <f>(R80+J80)*2</f>
        <v>-100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70</v>
      </c>
      <c r="D81" s="20">
        <v>29</v>
      </c>
      <c r="E81" s="1"/>
      <c r="F81" s="1"/>
      <c r="G81" s="1"/>
      <c r="H81" s="1"/>
      <c r="I81" s="1"/>
      <c r="J81" s="19">
        <f>(D81*D$60)+(E81*E$60)+(F81*F$60)+(G81*G$60)+(H81*H$60)+(I81*I$60)</f>
        <v>145</v>
      </c>
      <c r="K81" s="43" t="str">
        <f>IF(D81&gt;=100, 250, IF(D81&gt;=50, 150, IF(D81&gt;=30, 50, "")))</f>
        <v/>
      </c>
      <c r="L81" s="20" t="str">
        <f>IF(E81=5, 200, IF(E81=3, 150, IF(E81=2, 50, "")))</f>
        <v/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0</v>
      </c>
      <c r="T81" s="14">
        <f>R81+J81</f>
        <v>145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59</v>
      </c>
      <c r="D82" s="20">
        <v>17</v>
      </c>
      <c r="E82" s="1"/>
      <c r="F82" s="1"/>
      <c r="G82" s="1"/>
      <c r="H82" s="1">
        <v>1</v>
      </c>
      <c r="I82" s="1"/>
      <c r="J82" s="19">
        <f>(D82*D$60)+(E82*E$60)+(F82*F$60)+(G82*G$60)+(H82*H$60)+(I82*I$60)</f>
        <v>135</v>
      </c>
      <c r="K82" s="43" t="str">
        <f>IF(D82&gt;=100, 250, IF(D82&gt;=50, 150, IF(D82&gt;=30, 50, "")))</f>
        <v/>
      </c>
      <c r="L82" s="20" t="str">
        <f>IF(E82=5, 200, IF(E82=3, 150, IF(E82=2, 50, "")))</f>
        <v/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0</v>
      </c>
      <c r="T82" s="14">
        <f>R82+J82</f>
        <v>135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112</v>
      </c>
      <c r="D83" s="20"/>
      <c r="E83" s="1">
        <v>1</v>
      </c>
      <c r="F83" s="1"/>
      <c r="G83" s="1"/>
      <c r="H83" s="1"/>
      <c r="I83" s="1"/>
      <c r="J83" s="19">
        <f>(D83*D$60)+(E83*E$60)+(F83*F$60)+(G83*G$60)+(H83*H$60)+(I83*I$60)</f>
        <v>100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113</v>
      </c>
      <c r="D84" s="12">
        <v>1</v>
      </c>
      <c r="E84" s="10"/>
      <c r="F84" s="10"/>
      <c r="G84" s="10"/>
      <c r="H84" s="10">
        <v>1</v>
      </c>
      <c r="I84" s="10"/>
      <c r="J84" s="11">
        <f>(D84*D$60)+(E84*E$60)+(F84*F$60)+(G84*G$60)+(H84*H$60)+(I84*I$60)</f>
        <v>55</v>
      </c>
      <c r="K84" s="9" t="str">
        <f>IF(D84&gt;=100, 250, IF(D84&gt;=50, 150, IF(D84&gt;=30, 50, "")))</f>
        <v/>
      </c>
      <c r="L84" s="12" t="str">
        <f>IF(E84=5, 200, IF(E84=3, 150, IF(E84=2, 50, "")))</f>
        <v/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0</v>
      </c>
      <c r="T84" s="34">
        <f>R84+J84</f>
        <v>55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335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A85"/>
  <sheetViews>
    <sheetView zoomScale="88" zoomScaleNormal="88" workbookViewId="0">
      <selection activeCell="AD48" sqref="AD48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</row>
    <row r="29" spans="2:27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-2280</v>
      </c>
      <c r="Y29" s="42">
        <f>SUM(Y30:Y37)</f>
        <v>1535</v>
      </c>
      <c r="Z29" s="42">
        <f>SUM(Z30:Z37)</f>
        <v>7365</v>
      </c>
      <c r="AA29" s="42">
        <f>SUM(AA30:AA37)</f>
        <v>-6620</v>
      </c>
    </row>
    <row r="30" spans="2:27" x14ac:dyDescent="0.3">
      <c r="B30" s="66" t="s">
        <v>95</v>
      </c>
      <c r="C30" s="38" t="s">
        <v>52</v>
      </c>
      <c r="D30" s="5">
        <v>13</v>
      </c>
      <c r="E30" s="6"/>
      <c r="F30" s="6"/>
      <c r="G30" s="6"/>
      <c r="H30" s="6"/>
      <c r="I30" s="6"/>
      <c r="J30" s="7">
        <f>(D30*D$60)+(E30*E$60)+(F30*F$60)+(G30*G$60)+(H30*H$60)+(I30*I$60)</f>
        <v>65</v>
      </c>
      <c r="K30" s="15" t="str">
        <f>IF(D30&gt;=100, 250, IF(D30&gt;=50, 150, IF(D30&gt;=30, 50, "")))</f>
        <v/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0</v>
      </c>
      <c r="T30" s="14">
        <f>(R30+J30)*2</f>
        <v>130</v>
      </c>
      <c r="V30" s="28">
        <v>1</v>
      </c>
      <c r="W30" s="29">
        <v>45738</v>
      </c>
      <c r="X30" s="28">
        <v>-875</v>
      </c>
      <c r="Y30" s="28">
        <v>-175</v>
      </c>
      <c r="Z30" s="28">
        <v>2065</v>
      </c>
      <c r="AA30" s="28">
        <v>-1015</v>
      </c>
    </row>
    <row r="31" spans="2:27" x14ac:dyDescent="0.3">
      <c r="B31" s="67"/>
      <c r="C31" s="4" t="s">
        <v>78</v>
      </c>
      <c r="D31" s="18">
        <v>8</v>
      </c>
      <c r="E31" s="1"/>
      <c r="F31" s="1"/>
      <c r="G31" s="1"/>
      <c r="H31" s="1"/>
      <c r="I31" s="1"/>
      <c r="J31" s="19">
        <f>(D31*D$60)+(E31*E$60)+(F31*F$60)+(G31*G$60)+(H31*H$60)+(I31*I$60)</f>
        <v>40</v>
      </c>
      <c r="K31" s="15" t="str">
        <f>IF(D31&gt;=100, 250, IF(D31&gt;=50, 150, IF(D31&gt;=30, 50, "")))</f>
        <v/>
      </c>
      <c r="L31" s="20" t="str">
        <f t="shared" ref="L31:L46" si="0">IF(E31=5, 200, IF(E31=3, 150, IF(E31=2, 50, "")))</f>
        <v/>
      </c>
      <c r="M31" s="20" t="str">
        <f t="shared" ref="M31:M52" si="1">IF(H31=3,100,IF(H31=5,200,""))</f>
        <v/>
      </c>
      <c r="N31" s="20"/>
      <c r="O31" s="20"/>
      <c r="P31" s="1"/>
      <c r="Q31" s="1"/>
      <c r="R31" s="17">
        <f>SUM(K31:Q31)</f>
        <v>0</v>
      </c>
      <c r="T31" s="14">
        <f>R31+J31</f>
        <v>40</v>
      </c>
      <c r="V31" s="28">
        <v>2</v>
      </c>
      <c r="W31" s="29">
        <v>45739</v>
      </c>
      <c r="X31" s="28">
        <v>2810</v>
      </c>
      <c r="Y31" s="28">
        <v>-815</v>
      </c>
      <c r="Z31" s="28">
        <v>-790</v>
      </c>
      <c r="AA31" s="28">
        <v>-1205</v>
      </c>
    </row>
    <row r="32" spans="2:27" x14ac:dyDescent="0.3">
      <c r="B32" s="67"/>
      <c r="C32" s="4" t="s">
        <v>143</v>
      </c>
      <c r="D32" s="18">
        <v>22</v>
      </c>
      <c r="E32" s="1"/>
      <c r="F32" s="1"/>
      <c r="G32" s="1"/>
      <c r="H32" s="1">
        <v>1</v>
      </c>
      <c r="I32" s="1"/>
      <c r="J32" s="19">
        <f>(D32*D$60)+(E32*E$60)+(F32*F$60)+(G32*G$60)+(H32*H$60)+(I32*I$60)</f>
        <v>160</v>
      </c>
      <c r="K32" s="15" t="str">
        <f>IF(D32&gt;=100, 250, IF(D32&gt;=50, 150, IF(D32&gt;=30, 50, "")))</f>
        <v/>
      </c>
      <c r="L32" s="20" t="str">
        <f t="shared" si="0"/>
        <v/>
      </c>
      <c r="M32" s="20" t="str">
        <f t="shared" si="1"/>
        <v/>
      </c>
      <c r="N32" s="20"/>
      <c r="O32" s="20"/>
      <c r="P32" s="1"/>
      <c r="Q32" s="1"/>
      <c r="R32" s="17">
        <f>SUM(K32:Q32)</f>
        <v>0</v>
      </c>
      <c r="T32" s="14">
        <f>R32+J32</f>
        <v>160</v>
      </c>
      <c r="V32" s="28">
        <v>3</v>
      </c>
      <c r="W32" s="29">
        <v>45739</v>
      </c>
      <c r="X32" s="28">
        <v>-350</v>
      </c>
      <c r="Y32" s="28">
        <v>-430</v>
      </c>
      <c r="Z32" s="28">
        <v>2155</v>
      </c>
      <c r="AA32" s="28">
        <v>-1375</v>
      </c>
    </row>
    <row r="33" spans="2:27" x14ac:dyDescent="0.3">
      <c r="B33" s="67"/>
      <c r="C33" s="4" t="s">
        <v>80</v>
      </c>
      <c r="D33" s="18">
        <v>2</v>
      </c>
      <c r="E33" s="1"/>
      <c r="F33" s="1"/>
      <c r="G33" s="1"/>
      <c r="H33" s="1">
        <v>1</v>
      </c>
      <c r="I33" s="1"/>
      <c r="J33" s="19">
        <f>(D33*D$60)+(E33*E$60)+(F33*F$60)+(G33*G$60)+(H33*H$60)+(I33*I$60)</f>
        <v>60</v>
      </c>
      <c r="K33" s="15" t="str">
        <f>IF(D33&gt;=100, 250, IF(D33&gt;=50, 150, IF(D33&gt;=30, 50, "")))</f>
        <v/>
      </c>
      <c r="L33" s="20" t="str">
        <f t="shared" si="0"/>
        <v/>
      </c>
      <c r="M33" s="20" t="str">
        <f t="shared" si="1"/>
        <v/>
      </c>
      <c r="N33" s="20"/>
      <c r="O33" s="20"/>
      <c r="P33" s="1"/>
      <c r="Q33" s="1"/>
      <c r="R33" s="17">
        <f>SUM(K33:Q33)</f>
        <v>0</v>
      </c>
      <c r="T33" s="14">
        <f>R33+J33</f>
        <v>60</v>
      </c>
      <c r="V33" s="28">
        <v>4</v>
      </c>
      <c r="W33" s="29">
        <v>45740</v>
      </c>
      <c r="X33" s="28">
        <v>-1005</v>
      </c>
      <c r="Y33" s="28">
        <v>2125</v>
      </c>
      <c r="Z33" s="28">
        <v>-385</v>
      </c>
      <c r="AA33" s="28">
        <v>-735</v>
      </c>
    </row>
    <row r="34" spans="2:27" ht="15" thickBot="1" x14ac:dyDescent="0.35">
      <c r="B34" s="68"/>
      <c r="C34" s="21" t="s">
        <v>74</v>
      </c>
      <c r="D34" s="9"/>
      <c r="E34" s="10">
        <v>1</v>
      </c>
      <c r="F34" s="10"/>
      <c r="G34" s="10"/>
      <c r="H34" s="10"/>
      <c r="I34" s="10"/>
      <c r="J34" s="11">
        <f>(D34*D$60)+(E34*E$60)+(F34*F$60)+(G34*G$60)+(H34*H$60)+(I34*I$60)</f>
        <v>100</v>
      </c>
      <c r="K34" s="12" t="str">
        <f>IF(D34&gt;=100, 250, IF(D34&gt;=50, 150, IF(D34&gt;=30, 50, "")))</f>
        <v/>
      </c>
      <c r="L34" s="12" t="str">
        <f t="shared" si="0"/>
        <v/>
      </c>
      <c r="M34" s="12" t="str">
        <f t="shared" si="1"/>
        <v/>
      </c>
      <c r="N34" s="12"/>
      <c r="O34" s="12"/>
      <c r="P34" s="10"/>
      <c r="Q34" s="10"/>
      <c r="R34" s="13">
        <f>SUM(K34:Q34)</f>
        <v>0</v>
      </c>
      <c r="T34" s="22">
        <f>(R34+J34)</f>
        <v>100</v>
      </c>
      <c r="V34" s="28">
        <v>5</v>
      </c>
      <c r="W34" s="29">
        <v>45741</v>
      </c>
      <c r="X34" s="28">
        <v>-1005</v>
      </c>
      <c r="Y34" s="28">
        <v>2255</v>
      </c>
      <c r="Z34" s="28">
        <v>-950</v>
      </c>
      <c r="AA34" s="28">
        <v>-300</v>
      </c>
    </row>
    <row r="35" spans="2:27" ht="15" thickBot="1" x14ac:dyDescent="0.35">
      <c r="T35" s="37">
        <f>SUM(T30:T34)</f>
        <v>490</v>
      </c>
      <c r="V35" s="28">
        <v>6</v>
      </c>
      <c r="W35" s="29">
        <v>45742</v>
      </c>
      <c r="X35" s="28">
        <f>T35-T47</f>
        <v>-1855</v>
      </c>
      <c r="Y35" s="28">
        <f>T41-T47</f>
        <v>-1425</v>
      </c>
      <c r="Z35" s="28">
        <f>-(X35+Y35+AA35)</f>
        <v>5270</v>
      </c>
      <c r="AA35" s="28">
        <f>T53-T47</f>
        <v>-1990</v>
      </c>
    </row>
    <row r="36" spans="2:27" x14ac:dyDescent="0.3">
      <c r="B36" s="66" t="s">
        <v>96</v>
      </c>
      <c r="C36" s="39" t="s">
        <v>108</v>
      </c>
      <c r="D36" s="23">
        <v>29</v>
      </c>
      <c r="E36" s="6"/>
      <c r="F36" s="6"/>
      <c r="G36" s="6"/>
      <c r="H36" s="6"/>
      <c r="I36" s="6"/>
      <c r="J36" s="7">
        <f>(D36*D$60)+(E36*E$60)+(F36*F$60)+(G36*G$60)+(H36*H$60)+(I36*I$60)</f>
        <v>145</v>
      </c>
      <c r="K36" s="5" t="str">
        <f>IF(D36&gt;=100, 250, IF(D36&gt;=50, 150, IF(D36&gt;=30, 50, "")))</f>
        <v/>
      </c>
      <c r="L36" s="23" t="str">
        <f t="shared" si="0"/>
        <v/>
      </c>
      <c r="M36" s="23" t="str">
        <f t="shared" si="1"/>
        <v/>
      </c>
      <c r="N36" s="23"/>
      <c r="O36" s="23"/>
      <c r="P36" s="6"/>
      <c r="Q36" s="6"/>
      <c r="R36" s="24">
        <f>SUM(K36:Q36)</f>
        <v>0</v>
      </c>
      <c r="T36" s="33">
        <f>(R36+J36)*2</f>
        <v>290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25</v>
      </c>
      <c r="D37" s="20">
        <v>18</v>
      </c>
      <c r="E37" s="1"/>
      <c r="F37" s="1"/>
      <c r="G37" s="1"/>
      <c r="H37" s="1">
        <v>1</v>
      </c>
      <c r="I37" s="1"/>
      <c r="J37" s="19">
        <f>(D37*D$60)+(E37*E$60)+(F37*F$60)+(G37*G$60)+(H37*H$60)+(I37*I$60)</f>
        <v>140</v>
      </c>
      <c r="K37" s="43" t="str">
        <f>IF(D37&gt;=100, 250, IF(D37&gt;=50, 150, IF(D37&gt;=30, 50, "")))</f>
        <v/>
      </c>
      <c r="L37" s="20" t="str">
        <f t="shared" si="0"/>
        <v/>
      </c>
      <c r="M37" s="20" t="str">
        <f t="shared" si="1"/>
        <v/>
      </c>
      <c r="N37" s="20"/>
      <c r="O37" s="20"/>
      <c r="P37" s="1"/>
      <c r="Q37" s="1"/>
      <c r="R37" s="17">
        <f>SUM(K37:Q37)</f>
        <v>0</v>
      </c>
      <c r="T37" s="14">
        <f>R37+J37</f>
        <v>140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142</v>
      </c>
      <c r="D38" s="20">
        <v>5</v>
      </c>
      <c r="E38" s="1">
        <v>2</v>
      </c>
      <c r="F38" s="1"/>
      <c r="G38" s="1"/>
      <c r="H38" s="1"/>
      <c r="I38" s="1"/>
      <c r="J38" s="19">
        <f>(D38*D$60)+(E38*E$60)+(F38*F$60)+(G38*G$60)+(H38*H$60)+(I38*I$60)</f>
        <v>225</v>
      </c>
      <c r="K38" s="43" t="str">
        <f>IF(D38&gt;=100, 250, IF(D38&gt;=50, 150, IF(D38&gt;=30, 50, "")))</f>
        <v/>
      </c>
      <c r="L38" s="20">
        <f t="shared" si="0"/>
        <v>50</v>
      </c>
      <c r="M38" s="20" t="str">
        <f t="shared" si="1"/>
        <v/>
      </c>
      <c r="N38" s="20"/>
      <c r="O38" s="20"/>
      <c r="P38" s="1"/>
      <c r="Q38" s="1"/>
      <c r="R38" s="17">
        <f>SUM(K38:Q38)</f>
        <v>50</v>
      </c>
      <c r="T38" s="14">
        <f>R38+J38</f>
        <v>275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109</v>
      </c>
      <c r="D39" s="20">
        <v>33</v>
      </c>
      <c r="E39" s="1"/>
      <c r="F39" s="1"/>
      <c r="G39" s="1"/>
      <c r="H39" s="1"/>
      <c r="I39" s="1"/>
      <c r="J39" s="19">
        <f>(D39*D$60)+(E39*E$60)+(F39*F$60)+(G39*G$60)+(H39*H$60)+(I39*I$60)</f>
        <v>165</v>
      </c>
      <c r="K39" s="43">
        <f>IF(D39&gt;=100, 250, IF(D39&gt;=50, 150, IF(D39&gt;=30, 50, "")))</f>
        <v>50</v>
      </c>
      <c r="L39" s="20" t="str">
        <f t="shared" si="0"/>
        <v/>
      </c>
      <c r="M39" s="20" t="str">
        <f t="shared" si="1"/>
        <v/>
      </c>
      <c r="N39" s="20"/>
      <c r="O39" s="20"/>
      <c r="P39" s="1"/>
      <c r="Q39" s="1"/>
      <c r="R39" s="17">
        <f>SUM(K39:Q39)</f>
        <v>50</v>
      </c>
      <c r="T39" s="14">
        <f>R39+J39</f>
        <v>215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63</v>
      </c>
      <c r="D40" s="12"/>
      <c r="E40" s="10"/>
      <c r="F40" s="10"/>
      <c r="G40" s="10"/>
      <c r="H40" s="10"/>
      <c r="I40" s="10"/>
      <c r="J40" s="11">
        <f>(D40*D$60)+(E40*E$60)+(F40*F$60)+(G40*G$60)+(H40*H$60)+(I40*I$60)</f>
        <v>0</v>
      </c>
      <c r="K40" s="9" t="str">
        <f>IF(D40&gt;=100, 250, IF(D40&gt;=50, 150, IF(D40&gt;=30, 50, "")))</f>
        <v/>
      </c>
      <c r="L40" s="12" t="str">
        <f t="shared" si="0"/>
        <v/>
      </c>
      <c r="M40" s="12" t="str">
        <f t="shared" si="1"/>
        <v/>
      </c>
      <c r="N40" s="12"/>
      <c r="O40" s="12"/>
      <c r="P40" s="10"/>
      <c r="Q40" s="10"/>
      <c r="R40" s="13">
        <f>SUM(K40:Q40)</f>
        <v>0</v>
      </c>
      <c r="T40" s="34">
        <f>R40+J40</f>
        <v>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920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76</v>
      </c>
      <c r="D42" s="23">
        <v>97</v>
      </c>
      <c r="E42" s="6"/>
      <c r="F42" s="6"/>
      <c r="G42" s="6"/>
      <c r="H42" s="6">
        <v>1</v>
      </c>
      <c r="I42" s="6"/>
      <c r="J42" s="7">
        <f>(D42*D$60)+(E42*E$60)+(F42*F$60)+(G42*G$60)+(H42*H$60)+(I42*I$60)</f>
        <v>535</v>
      </c>
      <c r="K42" s="5">
        <f>IF(D42&gt;=100, 250, IF(D42&gt;=50, 150, IF(D42&gt;=30, 50, "")))</f>
        <v>150</v>
      </c>
      <c r="L42" s="23" t="str">
        <f t="shared" si="0"/>
        <v/>
      </c>
      <c r="M42" s="23" t="str">
        <f t="shared" si="1"/>
        <v/>
      </c>
      <c r="N42" s="23"/>
      <c r="O42" s="23">
        <v>150</v>
      </c>
      <c r="P42" s="6"/>
      <c r="Q42" s="6"/>
      <c r="R42" s="24">
        <f>SUM(K42:Q42)</f>
        <v>300</v>
      </c>
      <c r="T42" s="33">
        <f>(R42+J42)*2</f>
        <v>1670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61</v>
      </c>
      <c r="D43" s="20">
        <v>25</v>
      </c>
      <c r="E43" s="1"/>
      <c r="F43" s="1">
        <v>1</v>
      </c>
      <c r="G43" s="1"/>
      <c r="H43" s="1"/>
      <c r="I43" s="1"/>
      <c r="J43" s="19">
        <f>(D43*D$60)+(E43*E$60)+(F43*F$60)+(G43*G$60)+(H43*H$60)+(I43*I$60)</f>
        <v>175</v>
      </c>
      <c r="K43" s="43" t="str">
        <f>IF(D43&gt;=100, 250, IF(D43&gt;=50, 150, IF(D43&gt;=30, 50, "")))</f>
        <v/>
      </c>
      <c r="L43" s="20" t="str">
        <f t="shared" si="0"/>
        <v/>
      </c>
      <c r="M43" s="20" t="str">
        <f t="shared" si="1"/>
        <v/>
      </c>
      <c r="N43" s="20"/>
      <c r="O43" s="20"/>
      <c r="P43" s="1"/>
      <c r="Q43" s="1"/>
      <c r="R43" s="17">
        <f>SUM(K43:Q43)</f>
        <v>0</v>
      </c>
      <c r="T43" s="14">
        <f>R43+J43</f>
        <v>175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139</v>
      </c>
      <c r="D44" s="20">
        <v>4</v>
      </c>
      <c r="E44" s="1">
        <v>1</v>
      </c>
      <c r="F44" s="1"/>
      <c r="G44" s="1"/>
      <c r="H44" s="1"/>
      <c r="I44" s="1"/>
      <c r="J44" s="19">
        <f>(D44*D$60)+(E44*E$60)+(F44*F$60)+(G44*G$60)+(H44*H$60)+(I44*I$60)</f>
        <v>120</v>
      </c>
      <c r="K44" s="43" t="str">
        <f>IF(D44&gt;=100, 250, IF(D44&gt;=50, 150, IF(D44&gt;=30, 50, "")))</f>
        <v/>
      </c>
      <c r="L44" s="20" t="str">
        <f t="shared" si="0"/>
        <v/>
      </c>
      <c r="M44" s="20" t="str">
        <f t="shared" si="1"/>
        <v/>
      </c>
      <c r="N44" s="20"/>
      <c r="O44" s="20"/>
      <c r="P44" s="1"/>
      <c r="Q44" s="1"/>
      <c r="R44" s="17">
        <f>SUM(K44:Q44)</f>
        <v>0</v>
      </c>
      <c r="T44" s="14">
        <f>R44+J44</f>
        <v>120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140</v>
      </c>
      <c r="D45" s="20"/>
      <c r="E45" s="1">
        <v>2</v>
      </c>
      <c r="F45" s="1"/>
      <c r="G45" s="1"/>
      <c r="H45" s="1">
        <v>1</v>
      </c>
      <c r="I45" s="1"/>
      <c r="J45" s="19">
        <f>(D45*D$60)+(E45*E$60)+(F45*F$60)+(G45*G$60)+(H45*H$60)+(I45*I$60)</f>
        <v>250</v>
      </c>
      <c r="K45" s="43" t="str">
        <f>IF(D45&gt;=100, 250, IF(D45&gt;=50, 150, IF(D45&gt;=30, 50, "")))</f>
        <v/>
      </c>
      <c r="L45" s="20">
        <f t="shared" si="0"/>
        <v>50</v>
      </c>
      <c r="M45" s="20" t="str">
        <f t="shared" si="1"/>
        <v/>
      </c>
      <c r="N45" s="20"/>
      <c r="O45" s="20"/>
      <c r="P45" s="1"/>
      <c r="Q45" s="1"/>
      <c r="R45" s="17">
        <f>SUM(K45:Q45)</f>
        <v>50</v>
      </c>
      <c r="T45" s="14">
        <f>R45+J45</f>
        <v>300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141</v>
      </c>
      <c r="D46" s="12">
        <v>16</v>
      </c>
      <c r="E46" s="10"/>
      <c r="F46" s="10"/>
      <c r="G46" s="10"/>
      <c r="H46" s="10"/>
      <c r="I46" s="10"/>
      <c r="J46" s="11">
        <f>(D46*D$60)+(E46*E$60)+(F46*F$60)+(G46*G$60)+(H46*H$60)+(I46*I$60)</f>
        <v>80</v>
      </c>
      <c r="K46" s="9" t="str">
        <f>IF(D46&gt;=100, 250, IF(D46&gt;=50, 150, IF(D46&gt;=30, 50, "")))</f>
        <v/>
      </c>
      <c r="L46" s="12" t="str">
        <f t="shared" si="0"/>
        <v/>
      </c>
      <c r="M46" s="12" t="str">
        <f t="shared" si="1"/>
        <v/>
      </c>
      <c r="N46" s="12"/>
      <c r="O46" s="12"/>
      <c r="P46" s="10"/>
      <c r="Q46" s="10"/>
      <c r="R46" s="13">
        <f>SUM(K46:Q46)</f>
        <v>0</v>
      </c>
      <c r="T46" s="34">
        <f>R46+J46</f>
        <v>80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2345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50</v>
      </c>
      <c r="D48" s="23"/>
      <c r="E48" s="6"/>
      <c r="F48" s="6"/>
      <c r="G48" s="6"/>
      <c r="H48" s="6"/>
      <c r="I48" s="6"/>
      <c r="J48" s="7">
        <f>(D48*D$60)+(E48*E$60)+(F48*F$60)+(G48*G$60)+(H48*H$60)+(I48*I$60)</f>
        <v>0</v>
      </c>
      <c r="K48" s="5" t="str">
        <f>IF(D48&gt;=100, 250, IF(D48&gt;=50, 150, IF(D48&gt;=30, 50, "")))</f>
        <v/>
      </c>
      <c r="L48" s="23" t="str">
        <f>IF(E48=5, 200, IF(E48=3, 150, IF(E48=2, 50, "")))</f>
        <v/>
      </c>
      <c r="M48" s="23" t="str">
        <f t="shared" si="1"/>
        <v/>
      </c>
      <c r="N48" s="23"/>
      <c r="O48" s="23"/>
      <c r="P48" s="6"/>
      <c r="Q48" s="6"/>
      <c r="R48" s="24">
        <f>SUM(K48:Q48)</f>
        <v>0</v>
      </c>
      <c r="T48" s="33">
        <f>(R48+J48)*2</f>
        <v>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144</v>
      </c>
      <c r="D49" s="20"/>
      <c r="E49" s="1"/>
      <c r="F49" s="1"/>
      <c r="G49" s="1"/>
      <c r="H49" s="1">
        <v>1</v>
      </c>
      <c r="I49" s="1"/>
      <c r="J49" s="19">
        <f>(D49*D$60)+(E49*E$60)+(F49*F$60)+(G49*G$60)+(H49*H$60)+(I49*I$60)</f>
        <v>50</v>
      </c>
      <c r="K49" s="43" t="str">
        <f>IF(D49&gt;=100, 250, IF(D49&gt;=50, 150, IF(D49&gt;=30, 50, "")))</f>
        <v/>
      </c>
      <c r="L49" s="20" t="str">
        <f>IF(E49=5, 200, IF(E49=3, 150, IF(E49=2, 50, "")))</f>
        <v/>
      </c>
      <c r="M49" s="20" t="str">
        <f t="shared" si="1"/>
        <v/>
      </c>
      <c r="N49" s="20"/>
      <c r="O49" s="20"/>
      <c r="P49" s="1"/>
      <c r="Q49" s="1"/>
      <c r="R49" s="17">
        <f>SUM(K49:Q49)</f>
        <v>0</v>
      </c>
      <c r="T49" s="14">
        <f>R49+J49</f>
        <v>50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145</v>
      </c>
      <c r="D50" s="20"/>
      <c r="E50" s="1">
        <v>2</v>
      </c>
      <c r="F50" s="1"/>
      <c r="G50" s="1"/>
      <c r="H50" s="1"/>
      <c r="I50" s="1"/>
      <c r="J50" s="19">
        <f>(D50*D$60)+(E50*E$60)+(F50*F$60)+(G50*G$60)+(H50*H$60)+(I50*I$60)</f>
        <v>200</v>
      </c>
      <c r="K50" s="43" t="str">
        <f>IF(D50&gt;=100, 250, IF(D50&gt;=50, 150, IF(D50&gt;=30, 50, "")))</f>
        <v/>
      </c>
      <c r="L50" s="20">
        <f>IF(E50=5, 200, IF(E50=3, 150, IF(E50=2, 50, "")))</f>
        <v>50</v>
      </c>
      <c r="M50" s="20" t="str">
        <f t="shared" si="1"/>
        <v/>
      </c>
      <c r="N50" s="20"/>
      <c r="O50" s="20"/>
      <c r="P50" s="1"/>
      <c r="Q50" s="1"/>
      <c r="R50" s="17">
        <f>SUM(K50:Q50)</f>
        <v>50</v>
      </c>
      <c r="T50" s="14">
        <f>R50+J50</f>
        <v>250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146</v>
      </c>
      <c r="D51" s="20">
        <v>1</v>
      </c>
      <c r="E51" s="1"/>
      <c r="F51" s="1">
        <v>1</v>
      </c>
      <c r="G51" s="1"/>
      <c r="H51" s="1"/>
      <c r="I51" s="1"/>
      <c r="J51" s="19">
        <f>(D51*D$60)+(E51*E$60)+(F51*F$60)+(G51*G$60)+(H51*H$60)+(I51*I$60)</f>
        <v>55</v>
      </c>
      <c r="K51" s="43" t="str">
        <f>IF(D51&gt;=100, 250, IF(D51&gt;=50, 150, IF(D51&gt;=30, 50, "")))</f>
        <v/>
      </c>
      <c r="L51" s="20" t="str">
        <f>IF(E51=5, 200, IF(E51=3, 150, IF(E51=2, 50, "")))</f>
        <v/>
      </c>
      <c r="M51" s="20" t="str">
        <f t="shared" si="1"/>
        <v/>
      </c>
      <c r="N51" s="20"/>
      <c r="O51" s="20"/>
      <c r="P51" s="1"/>
      <c r="Q51" s="1"/>
      <c r="R51" s="17">
        <f>SUM(K51:Q51)</f>
        <v>0</v>
      </c>
      <c r="T51" s="14">
        <f>R51+J51</f>
        <v>55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69</v>
      </c>
      <c r="D52" s="12"/>
      <c r="E52" s="10"/>
      <c r="F52" s="10"/>
      <c r="G52" s="10"/>
      <c r="H52" s="10"/>
      <c r="I52" s="10"/>
      <c r="J52" s="11">
        <f>(D52*D$60)+(E52*E$60)+(F52*F$60)+(G52*G$60)+(H52*H$60)+(I52*I$60)</f>
        <v>0</v>
      </c>
      <c r="K52" s="9" t="str">
        <f>IF(D52&gt;=100, 250, IF(D52&gt;=50, 150, IF(D52&gt;=30, 50, "")))</f>
        <v/>
      </c>
      <c r="L52" s="12" t="str">
        <f>IF(E52=5, 200, IF(E52=3, 150, IF(E52=2, 50, "")))</f>
        <v/>
      </c>
      <c r="M52" s="12" t="str">
        <f t="shared" si="1"/>
        <v/>
      </c>
      <c r="N52" s="12"/>
      <c r="O52" s="12"/>
      <c r="P52" s="10"/>
      <c r="Q52" s="10"/>
      <c r="R52" s="13">
        <f>SUM(K52:Q52)</f>
        <v>0</v>
      </c>
      <c r="T52" s="34">
        <f>R52+J52</f>
        <v>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355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SUM(X62:X64)</f>
        <v>1585</v>
      </c>
      <c r="Y61" s="42">
        <f>SUM(Y62:Y64)</f>
        <v>-1420</v>
      </c>
      <c r="Z61" s="42">
        <f>SUM(Z62:Z64)</f>
        <v>3430</v>
      </c>
      <c r="AA61" s="42">
        <f>SUM(AA62:AA64)</f>
        <v>-3595</v>
      </c>
    </row>
    <row r="62" spans="2:27" x14ac:dyDescent="0.3">
      <c r="B62" s="66" t="s">
        <v>95</v>
      </c>
      <c r="C62" s="38" t="s">
        <v>36</v>
      </c>
      <c r="D62" s="5">
        <v>65</v>
      </c>
      <c r="E62" s="6"/>
      <c r="F62" s="6"/>
      <c r="G62" s="6"/>
      <c r="H62" s="6"/>
      <c r="I62" s="6"/>
      <c r="J62" s="7">
        <f>(D62*D$60)+(E62*E$60)+(F62*F$60)+(G62*G$60)+(H62*H$60)+(I62*I$60)</f>
        <v>325</v>
      </c>
      <c r="K62" s="15">
        <f>IF(D62&gt;=100, 250, IF(D62&gt;=50, 150, IF(D62&gt;=30, 50, "")))</f>
        <v>150</v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150</v>
      </c>
      <c r="T62" s="14">
        <f>(R62+J62)*2</f>
        <v>950</v>
      </c>
      <c r="V62" s="28">
        <v>1</v>
      </c>
      <c r="W62" s="29">
        <v>45738</v>
      </c>
      <c r="X62" s="28">
        <v>-875</v>
      </c>
      <c r="Y62" s="28">
        <v>-175</v>
      </c>
      <c r="Z62" s="28">
        <v>2065</v>
      </c>
      <c r="AA62" s="28">
        <v>-1015</v>
      </c>
    </row>
    <row r="63" spans="2:27" x14ac:dyDescent="0.3">
      <c r="B63" s="67"/>
      <c r="C63" s="4" t="s">
        <v>51</v>
      </c>
      <c r="D63" s="18">
        <v>1</v>
      </c>
      <c r="E63" s="1"/>
      <c r="F63" s="1"/>
      <c r="G63" s="1"/>
      <c r="H63" s="1"/>
      <c r="I63" s="1"/>
      <c r="J63" s="19">
        <f>(D63*D$60)+(E63*E$60)+(F63*F$60)+(G63*G$60)+(H63*H$60)+(I63*I$60)</f>
        <v>5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5</v>
      </c>
      <c r="V63" s="28">
        <v>2</v>
      </c>
      <c r="W63" s="29">
        <v>45739</v>
      </c>
      <c r="X63" s="28">
        <v>2810</v>
      </c>
      <c r="Y63" s="28">
        <v>-815</v>
      </c>
      <c r="Z63" s="28">
        <v>-790</v>
      </c>
      <c r="AA63" s="28">
        <v>-1205</v>
      </c>
    </row>
    <row r="64" spans="2:27" x14ac:dyDescent="0.3">
      <c r="B64" s="67"/>
      <c r="C64" s="4" t="s">
        <v>23</v>
      </c>
      <c r="D64" s="18">
        <v>28</v>
      </c>
      <c r="E64" s="1">
        <v>1</v>
      </c>
      <c r="F64" s="1">
        <v>1</v>
      </c>
      <c r="G64" s="1"/>
      <c r="H64" s="1"/>
      <c r="I64" s="1"/>
      <c r="J64" s="19">
        <f>(D64*D$60)+(E64*E$60)+(F64*F$60)+(G64*G$60)+(H64*H$60)+(I64*I$60)</f>
        <v>290</v>
      </c>
      <c r="K64" s="15" t="str">
        <f>IF(D64&gt;=100, 250, IF(D64&gt;=50, 150, IF(D64&gt;=30, 50, "")))</f>
        <v/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/>
      <c r="P64" s="1"/>
      <c r="Q64" s="1"/>
      <c r="R64" s="17">
        <f>SUM(K64:Q64)</f>
        <v>0</v>
      </c>
      <c r="T64" s="14">
        <f>R64+J64</f>
        <v>290</v>
      </c>
      <c r="V64" s="28">
        <v>3</v>
      </c>
      <c r="W64" s="29">
        <v>45739</v>
      </c>
      <c r="X64" s="28">
        <f>T67-T79</f>
        <v>-350</v>
      </c>
      <c r="Y64" s="28">
        <f>T73-T79</f>
        <v>-430</v>
      </c>
      <c r="Z64" s="28">
        <f>-(X64+Y64+AA64)</f>
        <v>2155</v>
      </c>
      <c r="AA64" s="28">
        <f>T85-T79</f>
        <v>-1375</v>
      </c>
    </row>
    <row r="65" spans="2:27" x14ac:dyDescent="0.3">
      <c r="B65" s="67"/>
      <c r="C65" s="4" t="s">
        <v>68</v>
      </c>
      <c r="D65" s="18"/>
      <c r="E65" s="1">
        <v>1</v>
      </c>
      <c r="F65" s="1"/>
      <c r="G65" s="1"/>
      <c r="H65" s="1"/>
      <c r="I65" s="1"/>
      <c r="J65" s="19">
        <f>(D65*D$60)+(E65*E$60)+(F65*F$60)+(G65*G$60)+(H65*H$60)+(I65*I$60)</f>
        <v>100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79</v>
      </c>
      <c r="D66" s="9">
        <v>3</v>
      </c>
      <c r="E66" s="10"/>
      <c r="F66" s="10"/>
      <c r="G66" s="10"/>
      <c r="H66" s="10"/>
      <c r="I66" s="10"/>
      <c r="J66" s="11">
        <f>(D66*D$60)+(E66*E$60)+(F66*F$60)+(G66*G$60)+(H66*H$60)+(I66*I$60)</f>
        <v>15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1360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114</v>
      </c>
      <c r="D68" s="23">
        <v>11</v>
      </c>
      <c r="E68" s="6">
        <v>1</v>
      </c>
      <c r="F68" s="6"/>
      <c r="G68" s="6"/>
      <c r="H68" s="6">
        <v>1</v>
      </c>
      <c r="I68" s="6"/>
      <c r="J68" s="7">
        <f>(D68*D$60)+(E68*E$60)+(F68*F$60)+(G68*G$60)+(H68*H$60)+(I68*I$60)</f>
        <v>205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410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55</v>
      </c>
      <c r="D69" s="20">
        <v>31</v>
      </c>
      <c r="E69" s="1"/>
      <c r="F69" s="1"/>
      <c r="G69" s="1"/>
      <c r="H69" s="1">
        <v>1</v>
      </c>
      <c r="I69" s="1"/>
      <c r="J69" s="19">
        <f>(D69*D$60)+(E69*E$60)+(F69*F$60)+(G69*G$60)+(H69*H$60)+(I69*I$60)</f>
        <v>205</v>
      </c>
      <c r="K69" s="43">
        <f>IF(D69&gt;=100, 250, IF(D69&gt;=50, 150, IF(D69&gt;=30, 50, "")))</f>
        <v>50</v>
      </c>
      <c r="L69" s="20" t="str">
        <f>IF(E69=5, 200, IF(E69=3, 150, IF(E69=2, 50, "")))</f>
        <v/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255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88</v>
      </c>
      <c r="D70" s="20">
        <v>11</v>
      </c>
      <c r="E70" s="1"/>
      <c r="F70" s="1"/>
      <c r="G70" s="1"/>
      <c r="H70" s="1"/>
      <c r="I70" s="1"/>
      <c r="J70" s="19">
        <f>(D70*D$60)+(E70*E$60)+(F70*F$60)+(G70*G$60)+(H70*H$60)+(I70*I$60)</f>
        <v>55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55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26</v>
      </c>
      <c r="D71" s="20"/>
      <c r="E71" s="1">
        <v>4</v>
      </c>
      <c r="F71" s="1"/>
      <c r="G71" s="1"/>
      <c r="H71" s="1"/>
      <c r="I71" s="1"/>
      <c r="J71" s="19">
        <f>(D71*D$60)+(E71*E$60)+(F71*F$60)+(G71*G$60)+(H71*H$60)+(I71*I$60)</f>
        <v>400</v>
      </c>
      <c r="K71" s="43" t="str">
        <f>IF(D71&gt;=100, 250, IF(D71&gt;=50, 150, IF(D71&gt;=30, 50, "")))</f>
        <v/>
      </c>
      <c r="L71" s="20">
        <v>150</v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150</v>
      </c>
      <c r="T71" s="14">
        <f>R71+J71</f>
        <v>550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115</v>
      </c>
      <c r="D72" s="12">
        <v>2</v>
      </c>
      <c r="E72" s="10"/>
      <c r="F72" s="10"/>
      <c r="G72" s="10"/>
      <c r="H72" s="10"/>
      <c r="I72" s="10"/>
      <c r="J72" s="11">
        <f>(D72*D$60)+(E72*E$60)+(F72*F$60)+(G72*G$60)+(H72*H$60)+(I72*I$60)</f>
        <v>10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10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1280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72</v>
      </c>
      <c r="D74" s="23">
        <v>53</v>
      </c>
      <c r="E74" s="6"/>
      <c r="F74" s="6"/>
      <c r="G74" s="6"/>
      <c r="H74" s="6">
        <v>1</v>
      </c>
      <c r="I74" s="6"/>
      <c r="J74" s="7">
        <f>(D74*D$60)+(E74*E$60)+(F74*F$60)+(G74*G$60)+(H74*H$60)+(I74*I$60)</f>
        <v>315</v>
      </c>
      <c r="K74" s="5">
        <f>IF(D74&gt;=100, 250, IF(D74&gt;=50, 150, IF(D74&gt;=30, 50, "")))</f>
        <v>150</v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150</v>
      </c>
      <c r="T74" s="33">
        <f>(R74+J74)*2</f>
        <v>930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111</v>
      </c>
      <c r="D75" s="20">
        <v>13</v>
      </c>
      <c r="E75" s="1"/>
      <c r="F75" s="1">
        <v>1</v>
      </c>
      <c r="G75" s="1"/>
      <c r="H75" s="1">
        <v>1</v>
      </c>
      <c r="I75" s="1"/>
      <c r="J75" s="19">
        <f>(D75*D$60)+(E75*E$60)+(F75*F$60)+(G75*G$60)+(H75*H$60)+(I75*I$60)</f>
        <v>165</v>
      </c>
      <c r="K75" s="43" t="str">
        <f>IF(D75&gt;=100, 250, IF(D75&gt;=50, 150, IF(D75&gt;=30, 50, "")))</f>
        <v/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0</v>
      </c>
      <c r="T75" s="14">
        <f>R75+J75</f>
        <v>165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66</v>
      </c>
      <c r="D76" s="20">
        <v>9</v>
      </c>
      <c r="E76" s="1"/>
      <c r="F76" s="1"/>
      <c r="G76" s="1"/>
      <c r="H76" s="1">
        <v>2</v>
      </c>
      <c r="I76" s="1"/>
      <c r="J76" s="19">
        <f>(D76*D$60)+(E76*E$60)+(F76*F$60)+(G76*G$60)+(H76*H$60)+(I76*I$60)</f>
        <v>145</v>
      </c>
      <c r="K76" s="43" t="str">
        <f>IF(D76&gt;=100, 250, IF(D76&gt;=50, 150, IF(D76&gt;=30, 50, "")))</f>
        <v/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0</v>
      </c>
      <c r="T76" s="14">
        <f>R76+J76</f>
        <v>145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42</v>
      </c>
      <c r="D77" s="20">
        <v>4</v>
      </c>
      <c r="E77" s="1"/>
      <c r="F77" s="1"/>
      <c r="G77" s="1"/>
      <c r="H77" s="1"/>
      <c r="I77" s="1"/>
      <c r="J77" s="19">
        <f>(D77*D$60)+(E77*E$60)+(F77*F$60)+(G77*G$60)+(H77*H$60)+(I77*I$60)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77</v>
      </c>
      <c r="D78" s="12"/>
      <c r="E78" s="10">
        <v>3</v>
      </c>
      <c r="F78" s="10"/>
      <c r="G78" s="10"/>
      <c r="H78" s="10"/>
      <c r="I78" s="10"/>
      <c r="J78" s="11">
        <f>(D78*D$60)+(E78*E$60)+(F78*F$60)+(G78*G$60)+(H78*H$60)+(I78*I$60)</f>
        <v>300</v>
      </c>
      <c r="K78" s="9" t="str">
        <f>IF(D78&gt;=100, 250, IF(D78&gt;=50, 150, IF(D78&gt;=30, 50, "")))</f>
        <v/>
      </c>
      <c r="L78" s="12">
        <f>IF(E78=5, 200, IF(E78=3, 150, IF(E78=2, 50, "")))</f>
        <v>150</v>
      </c>
      <c r="M78" s="12" t="str">
        <f>IF(H78=3,100,IF(H78=5,200,""))</f>
        <v/>
      </c>
      <c r="N78" s="12"/>
      <c r="O78" s="12"/>
      <c r="P78" s="10"/>
      <c r="Q78" s="10"/>
      <c r="R78" s="13">
        <f>SUM(K78:Q78)</f>
        <v>150</v>
      </c>
      <c r="T78" s="34">
        <f>R78+J78</f>
        <v>450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1710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57</v>
      </c>
      <c r="D80" s="23">
        <v>0</v>
      </c>
      <c r="E80" s="6"/>
      <c r="F80" s="6"/>
      <c r="G80" s="6"/>
      <c r="H80" s="6"/>
      <c r="I80" s="6">
        <v>1</v>
      </c>
      <c r="J80" s="7">
        <f>(D80*D$60)+(E80*E$60)+(F80*F$60)+(G80*G$60)+(H80*H$60)+(I80*I$60)</f>
        <v>-50</v>
      </c>
      <c r="K80" s="5" t="str">
        <f>IF(D80&gt;=100, 250, IF(D80&gt;=50, 150, IF(D80&gt;=30, 50, "")))</f>
        <v/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0</v>
      </c>
      <c r="T80" s="33">
        <f>(R80+J80)*2</f>
        <v>-100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70</v>
      </c>
      <c r="D81" s="20">
        <v>29</v>
      </c>
      <c r="E81" s="1"/>
      <c r="F81" s="1"/>
      <c r="G81" s="1"/>
      <c r="H81" s="1"/>
      <c r="I81" s="1"/>
      <c r="J81" s="19">
        <f>(D81*D$60)+(E81*E$60)+(F81*F$60)+(G81*G$60)+(H81*H$60)+(I81*I$60)</f>
        <v>145</v>
      </c>
      <c r="K81" s="43" t="str">
        <f>IF(D81&gt;=100, 250, IF(D81&gt;=50, 150, IF(D81&gt;=30, 50, "")))</f>
        <v/>
      </c>
      <c r="L81" s="20" t="str">
        <f>IF(E81=5, 200, IF(E81=3, 150, IF(E81=2, 50, "")))</f>
        <v/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0</v>
      </c>
      <c r="T81" s="14">
        <f>R81+J81</f>
        <v>145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59</v>
      </c>
      <c r="D82" s="20">
        <v>17</v>
      </c>
      <c r="E82" s="1"/>
      <c r="F82" s="1"/>
      <c r="G82" s="1"/>
      <c r="H82" s="1">
        <v>1</v>
      </c>
      <c r="I82" s="1"/>
      <c r="J82" s="19">
        <f>(D82*D$60)+(E82*E$60)+(F82*F$60)+(G82*G$60)+(H82*H$60)+(I82*I$60)</f>
        <v>135</v>
      </c>
      <c r="K82" s="43" t="str">
        <f>IF(D82&gt;=100, 250, IF(D82&gt;=50, 150, IF(D82&gt;=30, 50, "")))</f>
        <v/>
      </c>
      <c r="L82" s="20" t="str">
        <f>IF(E82=5, 200, IF(E82=3, 150, IF(E82=2, 50, "")))</f>
        <v/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0</v>
      </c>
      <c r="T82" s="14">
        <f>R82+J82</f>
        <v>135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112</v>
      </c>
      <c r="D83" s="20"/>
      <c r="E83" s="1">
        <v>1</v>
      </c>
      <c r="F83" s="1"/>
      <c r="G83" s="1"/>
      <c r="H83" s="1"/>
      <c r="I83" s="1"/>
      <c r="J83" s="19">
        <f>(D83*D$60)+(E83*E$60)+(F83*F$60)+(G83*G$60)+(H83*H$60)+(I83*I$60)</f>
        <v>100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113</v>
      </c>
      <c r="D84" s="12">
        <v>1</v>
      </c>
      <c r="E84" s="10"/>
      <c r="F84" s="10"/>
      <c r="G84" s="10"/>
      <c r="H84" s="10">
        <v>1</v>
      </c>
      <c r="I84" s="10"/>
      <c r="J84" s="11">
        <f>(D84*D$60)+(E84*E$60)+(F84*F$60)+(G84*G$60)+(H84*H$60)+(I84*I$60)</f>
        <v>55</v>
      </c>
      <c r="K84" s="9" t="str">
        <f>IF(D84&gt;=100, 250, IF(D84&gt;=50, 150, IF(D84&gt;=30, 50, "")))</f>
        <v/>
      </c>
      <c r="L84" s="12" t="str">
        <f>IF(E84=5, 200, IF(E84=3, 150, IF(E84=2, 50, "")))</f>
        <v/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0</v>
      </c>
      <c r="T84" s="34">
        <f>R84+J84</f>
        <v>55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335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A85"/>
  <sheetViews>
    <sheetView zoomScale="88" zoomScaleNormal="88" workbookViewId="0">
      <selection activeCell="V28" sqref="V28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25" width="8.88671875" style="3"/>
    <col min="26" max="26" width="9.5546875" style="3" bestFit="1" customWidth="1"/>
    <col min="27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</row>
    <row r="29" spans="2:27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-4330</v>
      </c>
      <c r="Y29" s="42">
        <f>SUM(Y30:Y37)</f>
        <v>-35</v>
      </c>
      <c r="Z29" s="42">
        <f>SUM(Z30:Z37)</f>
        <v>11530</v>
      </c>
      <c r="AA29" s="42">
        <f>SUM(AA30:AA37)</f>
        <v>-7165</v>
      </c>
    </row>
    <row r="30" spans="2:27" x14ac:dyDescent="0.3">
      <c r="B30" s="66" t="s">
        <v>95</v>
      </c>
      <c r="C30" s="38" t="s">
        <v>147</v>
      </c>
      <c r="D30" s="5">
        <v>6</v>
      </c>
      <c r="E30" s="6"/>
      <c r="F30" s="6"/>
      <c r="G30" s="6"/>
      <c r="H30" s="6"/>
      <c r="I30" s="6"/>
      <c r="J30" s="7">
        <f>(D30*D$60)+(E30*E$60)+(F30*F$60)+(G30*G$60)+(H30*H$60)+(I30*I$60)</f>
        <v>30</v>
      </c>
      <c r="K30" s="15" t="str">
        <f>IF(D30&gt;=100, 250, IF(D30&gt;=50, 150, IF(D30&gt;=30, 50, "")))</f>
        <v/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0</v>
      </c>
      <c r="T30" s="14">
        <f>(R30+J30)*2</f>
        <v>60</v>
      </c>
      <c r="V30" s="28">
        <v>1</v>
      </c>
      <c r="W30" s="29">
        <v>45738</v>
      </c>
      <c r="X30" s="28">
        <v>-875</v>
      </c>
      <c r="Y30" s="28">
        <v>-175</v>
      </c>
      <c r="Z30" s="28">
        <v>2065</v>
      </c>
      <c r="AA30" s="28">
        <v>-1015</v>
      </c>
    </row>
    <row r="31" spans="2:27" x14ac:dyDescent="0.3">
      <c r="B31" s="67"/>
      <c r="C31" s="4" t="s">
        <v>38</v>
      </c>
      <c r="D31" s="18">
        <v>15</v>
      </c>
      <c r="E31" s="1"/>
      <c r="F31" s="1"/>
      <c r="G31" s="1"/>
      <c r="H31" s="1">
        <v>1</v>
      </c>
      <c r="I31" s="1"/>
      <c r="J31" s="19">
        <f>(D31*D$60)+(E31*E$60)+(F31*F$60)+(G31*G$60)+(H31*H$60)+(I31*I$60)</f>
        <v>125</v>
      </c>
      <c r="K31" s="15" t="str">
        <f>IF(D31&gt;=100, 250, IF(D31&gt;=50, 150, IF(D31&gt;=30, 50, "")))</f>
        <v/>
      </c>
      <c r="L31" s="20" t="str">
        <f t="shared" ref="L31:L46" si="0">IF(E31=5, 200, IF(E31=3, 150, IF(E31=2, 50, "")))</f>
        <v/>
      </c>
      <c r="M31" s="20" t="str">
        <f t="shared" ref="M31:M52" si="1">IF(H31=3,100,IF(H31=5,200,""))</f>
        <v/>
      </c>
      <c r="N31" s="20"/>
      <c r="O31" s="20"/>
      <c r="P31" s="1"/>
      <c r="Q31" s="1"/>
      <c r="R31" s="17">
        <f>SUM(K31:Q31)</f>
        <v>0</v>
      </c>
      <c r="T31" s="14">
        <f>R31+J31</f>
        <v>125</v>
      </c>
      <c r="V31" s="28">
        <v>2</v>
      </c>
      <c r="W31" s="29">
        <v>45739</v>
      </c>
      <c r="X31" s="28">
        <v>2810</v>
      </c>
      <c r="Y31" s="28">
        <v>-815</v>
      </c>
      <c r="Z31" s="28">
        <v>-790</v>
      </c>
      <c r="AA31" s="28">
        <v>-1205</v>
      </c>
    </row>
    <row r="32" spans="2:27" x14ac:dyDescent="0.3">
      <c r="B32" s="67"/>
      <c r="C32" s="4" t="s">
        <v>24</v>
      </c>
      <c r="D32" s="18">
        <v>13</v>
      </c>
      <c r="E32" s="1"/>
      <c r="F32" s="1"/>
      <c r="G32" s="1"/>
      <c r="H32" s="1">
        <v>1</v>
      </c>
      <c r="I32" s="1"/>
      <c r="J32" s="19">
        <f>(D32*D$60)+(E32*E$60)+(F32*F$60)+(G32*G$60)+(H32*H$60)+(I32*I$60)</f>
        <v>115</v>
      </c>
      <c r="K32" s="15" t="str">
        <f>IF(D32&gt;=100, 250, IF(D32&gt;=50, 150, IF(D32&gt;=30, 50, "")))</f>
        <v/>
      </c>
      <c r="L32" s="20" t="str">
        <f t="shared" si="0"/>
        <v/>
      </c>
      <c r="M32" s="20" t="str">
        <f t="shared" si="1"/>
        <v/>
      </c>
      <c r="N32" s="20"/>
      <c r="O32" s="20"/>
      <c r="P32" s="1"/>
      <c r="Q32" s="1"/>
      <c r="R32" s="17">
        <f>SUM(K32:Q32)</f>
        <v>0</v>
      </c>
      <c r="T32" s="14">
        <f>R32+J32</f>
        <v>115</v>
      </c>
      <c r="V32" s="28">
        <v>3</v>
      </c>
      <c r="W32" s="29">
        <v>45739</v>
      </c>
      <c r="X32" s="28">
        <v>-350</v>
      </c>
      <c r="Y32" s="28">
        <v>-430</v>
      </c>
      <c r="Z32" s="28">
        <v>2155</v>
      </c>
      <c r="AA32" s="28">
        <v>-1375</v>
      </c>
    </row>
    <row r="33" spans="2:27" x14ac:dyDescent="0.3">
      <c r="B33" s="67"/>
      <c r="C33" s="4" t="s">
        <v>148</v>
      </c>
      <c r="D33" s="18"/>
      <c r="E33" s="1">
        <v>1</v>
      </c>
      <c r="F33" s="1"/>
      <c r="G33" s="1"/>
      <c r="H33" s="1"/>
      <c r="I33" s="1"/>
      <c r="J33" s="19">
        <f>(D33*D$60)+(E33*E$60)+(F33*F$60)+(G33*G$60)+(H33*H$60)+(I33*I$60)</f>
        <v>100</v>
      </c>
      <c r="K33" s="15" t="str">
        <f>IF(D33&gt;=100, 250, IF(D33&gt;=50, 150, IF(D33&gt;=30, 50, "")))</f>
        <v/>
      </c>
      <c r="L33" s="20" t="str">
        <f t="shared" si="0"/>
        <v/>
      </c>
      <c r="M33" s="20" t="str">
        <f t="shared" si="1"/>
        <v/>
      </c>
      <c r="N33" s="20"/>
      <c r="O33" s="20"/>
      <c r="P33" s="1"/>
      <c r="Q33" s="1"/>
      <c r="R33" s="17">
        <f>SUM(K33:Q33)</f>
        <v>0</v>
      </c>
      <c r="T33" s="14">
        <f>R33+J33</f>
        <v>100</v>
      </c>
      <c r="V33" s="28">
        <v>4</v>
      </c>
      <c r="W33" s="29">
        <v>45740</v>
      </c>
      <c r="X33" s="28">
        <v>-1005</v>
      </c>
      <c r="Y33" s="28">
        <v>2125</v>
      </c>
      <c r="Z33" s="28">
        <v>-385</v>
      </c>
      <c r="AA33" s="28">
        <v>-735</v>
      </c>
    </row>
    <row r="34" spans="2:27" ht="15" thickBot="1" x14ac:dyDescent="0.35">
      <c r="B34" s="68"/>
      <c r="C34" s="21" t="s">
        <v>149</v>
      </c>
      <c r="D34" s="9">
        <v>3</v>
      </c>
      <c r="E34" s="10"/>
      <c r="F34" s="10"/>
      <c r="G34" s="10"/>
      <c r="H34" s="10"/>
      <c r="I34" s="10"/>
      <c r="J34" s="11">
        <f>(D34*D$60)+(E34*E$60)+(F34*F$60)+(G34*G$60)+(H34*H$60)+(I34*I$60)</f>
        <v>15</v>
      </c>
      <c r="K34" s="12" t="str">
        <f>IF(D34&gt;=100, 250, IF(D34&gt;=50, 150, IF(D34&gt;=30, 50, "")))</f>
        <v/>
      </c>
      <c r="L34" s="12" t="str">
        <f t="shared" si="0"/>
        <v/>
      </c>
      <c r="M34" s="12" t="str">
        <f t="shared" si="1"/>
        <v/>
      </c>
      <c r="N34" s="12"/>
      <c r="O34" s="12"/>
      <c r="P34" s="10"/>
      <c r="Q34" s="10"/>
      <c r="R34" s="13">
        <f>SUM(K34:Q34)</f>
        <v>0</v>
      </c>
      <c r="T34" s="22">
        <f>(R34+J34)</f>
        <v>15</v>
      </c>
      <c r="V34" s="28">
        <v>5</v>
      </c>
      <c r="W34" s="29">
        <v>45741</v>
      </c>
      <c r="X34" s="28">
        <v>-1005</v>
      </c>
      <c r="Y34" s="28">
        <v>2255</v>
      </c>
      <c r="Z34" s="28">
        <v>-950</v>
      </c>
      <c r="AA34" s="28">
        <v>-300</v>
      </c>
    </row>
    <row r="35" spans="2:27" ht="15" thickBot="1" x14ac:dyDescent="0.35">
      <c r="T35" s="37">
        <f>SUM(T30:T34)</f>
        <v>415</v>
      </c>
      <c r="V35" s="28">
        <v>6</v>
      </c>
      <c r="W35" s="29">
        <v>45742</v>
      </c>
      <c r="X35" s="28">
        <v>-1855</v>
      </c>
      <c r="Y35" s="28">
        <v>-1425</v>
      </c>
      <c r="Z35" s="28">
        <v>5270</v>
      </c>
      <c r="AA35" s="28">
        <v>-1990</v>
      </c>
    </row>
    <row r="36" spans="2:27" x14ac:dyDescent="0.3">
      <c r="B36" s="66" t="s">
        <v>96</v>
      </c>
      <c r="C36" s="39" t="s">
        <v>60</v>
      </c>
      <c r="D36" s="23">
        <v>47</v>
      </c>
      <c r="E36" s="6"/>
      <c r="F36" s="6"/>
      <c r="G36" s="6"/>
      <c r="H36" s="6"/>
      <c r="I36" s="6"/>
      <c r="J36" s="7">
        <f>(D36*D$60)+(E36*E$60)+(F36*F$60)+(G36*G$60)+(H36*H$60)+(I36*I$60)</f>
        <v>235</v>
      </c>
      <c r="K36" s="5">
        <f>IF(D36&gt;=100, 250, IF(D36&gt;=50, 150, IF(D36&gt;=30, 50, "")))</f>
        <v>50</v>
      </c>
      <c r="L36" s="23" t="str">
        <f t="shared" si="0"/>
        <v/>
      </c>
      <c r="M36" s="23" t="str">
        <f t="shared" si="1"/>
        <v/>
      </c>
      <c r="N36" s="23"/>
      <c r="O36" s="23"/>
      <c r="P36" s="6"/>
      <c r="Q36" s="6"/>
      <c r="R36" s="24">
        <f>SUM(K36:Q36)</f>
        <v>50</v>
      </c>
      <c r="T36" s="33">
        <f>(R36+J36)*2</f>
        <v>570</v>
      </c>
      <c r="V36" s="28">
        <v>7</v>
      </c>
      <c r="W36" s="29">
        <v>45743</v>
      </c>
      <c r="X36" s="28">
        <f>T35-T47</f>
        <v>-2050</v>
      </c>
      <c r="Y36" s="28">
        <f>T41-T47</f>
        <v>-1570</v>
      </c>
      <c r="Z36" s="28">
        <f>-(X36+Y36+AA36)</f>
        <v>4165</v>
      </c>
      <c r="AA36" s="28">
        <f>T53-T47</f>
        <v>-545</v>
      </c>
    </row>
    <row r="37" spans="2:27" x14ac:dyDescent="0.3">
      <c r="B37" s="67"/>
      <c r="C37" s="19" t="s">
        <v>150</v>
      </c>
      <c r="D37" s="20">
        <v>0</v>
      </c>
      <c r="E37" s="1"/>
      <c r="F37" s="1"/>
      <c r="G37" s="1"/>
      <c r="H37" s="1"/>
      <c r="I37" s="1">
        <v>1</v>
      </c>
      <c r="J37" s="19">
        <f>(D37*D$60)+(E37*E$60)+(F37*F$60)+(G37*G$60)+(H37*H$60)+(I37*I$60)</f>
        <v>-50</v>
      </c>
      <c r="K37" s="43" t="str">
        <f>IF(D37&gt;=100, 250, IF(D37&gt;=50, 150, IF(D37&gt;=30, 50, "")))</f>
        <v/>
      </c>
      <c r="L37" s="20" t="str">
        <f t="shared" si="0"/>
        <v/>
      </c>
      <c r="M37" s="20" t="str">
        <f t="shared" si="1"/>
        <v/>
      </c>
      <c r="N37" s="20"/>
      <c r="O37" s="20"/>
      <c r="P37" s="1"/>
      <c r="Q37" s="1"/>
      <c r="R37" s="17">
        <f>SUM(K37:Q37)</f>
        <v>0</v>
      </c>
      <c r="T37" s="14">
        <f>R37+J37</f>
        <v>-50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151</v>
      </c>
      <c r="D38" s="20">
        <v>1</v>
      </c>
      <c r="E38" s="1"/>
      <c r="F38" s="1"/>
      <c r="G38" s="1"/>
      <c r="H38" s="1"/>
      <c r="I38" s="1"/>
      <c r="J38" s="19">
        <f>(D38*D$60)+(E38*E$60)+(F38*F$60)+(G38*G$60)+(H38*H$60)+(I38*I$60)</f>
        <v>5</v>
      </c>
      <c r="K38" s="43" t="str">
        <f>IF(D38&gt;=100, 250, IF(D38&gt;=50, 150, IF(D38&gt;=30, 50, "")))</f>
        <v/>
      </c>
      <c r="L38" s="20" t="str">
        <f t="shared" si="0"/>
        <v/>
      </c>
      <c r="M38" s="20" t="str">
        <f t="shared" si="1"/>
        <v/>
      </c>
      <c r="N38" s="20"/>
      <c r="O38" s="20"/>
      <c r="P38" s="1"/>
      <c r="Q38" s="1"/>
      <c r="R38" s="17">
        <f>SUM(K38:Q38)</f>
        <v>0</v>
      </c>
      <c r="T38" s="14">
        <f>R38+J38</f>
        <v>5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22</v>
      </c>
      <c r="D39" s="20">
        <v>12</v>
      </c>
      <c r="E39" s="1">
        <v>1</v>
      </c>
      <c r="F39" s="1"/>
      <c r="G39" s="1"/>
      <c r="H39" s="1">
        <v>1</v>
      </c>
      <c r="I39" s="1"/>
      <c r="J39" s="19">
        <f>(D39*D$60)+(E39*E$60)+(F39*F$60)+(G39*G$60)+(H39*H$60)+(I39*I$60)</f>
        <v>210</v>
      </c>
      <c r="K39" s="43" t="str">
        <f>IF(D39&gt;=100, 250, IF(D39&gt;=50, 150, IF(D39&gt;=30, 50, "")))</f>
        <v/>
      </c>
      <c r="L39" s="20" t="str">
        <f t="shared" si="0"/>
        <v/>
      </c>
      <c r="M39" s="20" t="str">
        <f t="shared" si="1"/>
        <v/>
      </c>
      <c r="N39" s="20"/>
      <c r="O39" s="20"/>
      <c r="P39" s="1"/>
      <c r="Q39" s="1"/>
      <c r="R39" s="17">
        <f>SUM(K39:Q39)</f>
        <v>0</v>
      </c>
      <c r="T39" s="14">
        <f>R39+J39</f>
        <v>210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152</v>
      </c>
      <c r="D40" s="12">
        <v>22</v>
      </c>
      <c r="E40" s="10"/>
      <c r="F40" s="10"/>
      <c r="G40" s="10"/>
      <c r="H40" s="10">
        <v>1</v>
      </c>
      <c r="I40" s="10"/>
      <c r="J40" s="11">
        <f>(D40*D$60)+(E40*E$60)+(F40*F$60)+(G40*G$60)+(H40*H$60)+(I40*I$60)</f>
        <v>160</v>
      </c>
      <c r="K40" s="9" t="str">
        <f>IF(D40&gt;=100, 250, IF(D40&gt;=50, 150, IF(D40&gt;=30, 50, "")))</f>
        <v/>
      </c>
      <c r="L40" s="12" t="str">
        <f t="shared" si="0"/>
        <v/>
      </c>
      <c r="M40" s="12" t="str">
        <f t="shared" si="1"/>
        <v/>
      </c>
      <c r="N40" s="12"/>
      <c r="O40" s="12"/>
      <c r="P40" s="10"/>
      <c r="Q40" s="10"/>
      <c r="R40" s="13">
        <f>SUM(K40:Q40)</f>
        <v>0</v>
      </c>
      <c r="T40" s="34">
        <f>R40+J40</f>
        <v>160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895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53</v>
      </c>
      <c r="D42" s="23">
        <v>70</v>
      </c>
      <c r="E42" s="6"/>
      <c r="F42" s="6"/>
      <c r="G42" s="6"/>
      <c r="H42" s="6">
        <v>1</v>
      </c>
      <c r="I42" s="6"/>
      <c r="J42" s="7">
        <f>(D42*D$60)+(E42*E$60)+(F42*F$60)+(G42*G$60)+(H42*H$60)+(I42*I$60)</f>
        <v>400</v>
      </c>
      <c r="K42" s="5">
        <f>IF(D42&gt;=100, 250, IF(D42&gt;=50, 150, IF(D42&gt;=30, 50, "")))</f>
        <v>150</v>
      </c>
      <c r="L42" s="23" t="str">
        <f t="shared" si="0"/>
        <v/>
      </c>
      <c r="M42" s="23" t="str">
        <f t="shared" si="1"/>
        <v/>
      </c>
      <c r="N42" s="23"/>
      <c r="O42" s="23">
        <v>150</v>
      </c>
      <c r="P42" s="6"/>
      <c r="Q42" s="6"/>
      <c r="R42" s="24">
        <f>SUM(K42:Q42)</f>
        <v>300</v>
      </c>
      <c r="T42" s="33">
        <f>(R42+J42)*2</f>
        <v>1400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153</v>
      </c>
      <c r="D43" s="20">
        <v>32</v>
      </c>
      <c r="E43" s="1"/>
      <c r="F43" s="1"/>
      <c r="G43" s="1"/>
      <c r="H43" s="1">
        <v>1</v>
      </c>
      <c r="I43" s="1"/>
      <c r="J43" s="19">
        <f>(D43*D$60)+(E43*E$60)+(F43*F$60)+(G43*G$60)+(H43*H$60)+(I43*I$60)</f>
        <v>210</v>
      </c>
      <c r="K43" s="43">
        <f>IF(D43&gt;=100, 250, IF(D43&gt;=50, 150, IF(D43&gt;=30, 50, "")))</f>
        <v>50</v>
      </c>
      <c r="L43" s="20" t="str">
        <f t="shared" si="0"/>
        <v/>
      </c>
      <c r="M43" s="20" t="str">
        <f t="shared" si="1"/>
        <v/>
      </c>
      <c r="N43" s="20"/>
      <c r="O43" s="20"/>
      <c r="P43" s="1"/>
      <c r="Q43" s="1"/>
      <c r="R43" s="17">
        <f>SUM(K43:Q43)</f>
        <v>50</v>
      </c>
      <c r="T43" s="14">
        <f>R43+J43</f>
        <v>260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3</v>
      </c>
      <c r="D44" s="20">
        <v>1</v>
      </c>
      <c r="E44" s="1">
        <v>1</v>
      </c>
      <c r="F44" s="1"/>
      <c r="G44" s="1"/>
      <c r="H44" s="1">
        <v>1</v>
      </c>
      <c r="I44" s="1"/>
      <c r="J44" s="19">
        <f>(D44*D$60)+(E44*E$60)+(F44*F$60)+(G44*G$60)+(H44*H$60)+(I44*I$60)</f>
        <v>155</v>
      </c>
      <c r="K44" s="43" t="str">
        <f>IF(D44&gt;=100, 250, IF(D44&gt;=50, 150, IF(D44&gt;=30, 50, "")))</f>
        <v/>
      </c>
      <c r="L44" s="20" t="str">
        <f t="shared" si="0"/>
        <v/>
      </c>
      <c r="M44" s="20" t="str">
        <f t="shared" si="1"/>
        <v/>
      </c>
      <c r="N44" s="20"/>
      <c r="O44" s="20"/>
      <c r="P44" s="1"/>
      <c r="Q44" s="1"/>
      <c r="R44" s="17">
        <f>SUM(K44:Q44)</f>
        <v>0</v>
      </c>
      <c r="T44" s="14">
        <f>R44+J44</f>
        <v>155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117</v>
      </c>
      <c r="D45" s="20"/>
      <c r="E45" s="1">
        <v>4</v>
      </c>
      <c r="F45" s="1"/>
      <c r="G45" s="1"/>
      <c r="H45" s="1"/>
      <c r="I45" s="1"/>
      <c r="J45" s="19">
        <f>(D45*D$60)+(E45*E$60)+(F45*F$60)+(G45*G$60)+(H45*H$60)+(I45*I$60)</f>
        <v>400</v>
      </c>
      <c r="K45" s="43" t="str">
        <f>IF(D45&gt;=100, 250, IF(D45&gt;=50, 150, IF(D45&gt;=30, 50, "")))</f>
        <v/>
      </c>
      <c r="L45" s="20">
        <v>150</v>
      </c>
      <c r="M45" s="20" t="str">
        <f t="shared" si="1"/>
        <v/>
      </c>
      <c r="N45" s="20"/>
      <c r="O45" s="20"/>
      <c r="P45" s="1"/>
      <c r="Q45" s="1"/>
      <c r="R45" s="17">
        <f>SUM(K45:Q45)</f>
        <v>150</v>
      </c>
      <c r="T45" s="14">
        <f>R45+J45</f>
        <v>550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154</v>
      </c>
      <c r="D46" s="12"/>
      <c r="E46" s="10">
        <v>1</v>
      </c>
      <c r="F46" s="10"/>
      <c r="G46" s="10"/>
      <c r="H46" s="10"/>
      <c r="I46" s="10"/>
      <c r="J46" s="11">
        <f>(D46*D$60)+(E46*E$60)+(F46*F$60)+(G46*G$60)+(H46*H$60)+(I46*I$60)</f>
        <v>100</v>
      </c>
      <c r="K46" s="9" t="str">
        <f>IF(D46&gt;=100, 250, IF(D46&gt;=50, 150, IF(D46&gt;=30, 50, "")))</f>
        <v/>
      </c>
      <c r="L46" s="12" t="str">
        <f t="shared" si="0"/>
        <v/>
      </c>
      <c r="M46" s="12" t="str">
        <f t="shared" si="1"/>
        <v/>
      </c>
      <c r="N46" s="12"/>
      <c r="O46" s="12"/>
      <c r="P46" s="10"/>
      <c r="Q46" s="10"/>
      <c r="R46" s="13">
        <f>SUM(K46:Q46)</f>
        <v>0</v>
      </c>
      <c r="T46" s="34">
        <f>R46+J46</f>
        <v>100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2465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37</v>
      </c>
      <c r="D48" s="23">
        <v>52</v>
      </c>
      <c r="E48" s="6"/>
      <c r="F48" s="6"/>
      <c r="G48" s="6"/>
      <c r="H48" s="6"/>
      <c r="I48" s="6"/>
      <c r="J48" s="7">
        <f>(D48*D$60)+(E48*E$60)+(F48*F$60)+(G48*G$60)+(H48*H$60)+(I48*I$60)</f>
        <v>260</v>
      </c>
      <c r="K48" s="5">
        <f>IF(D48&gt;=100, 250, IF(D48&gt;=50, 150, IF(D48&gt;=30, 50, "")))</f>
        <v>150</v>
      </c>
      <c r="L48" s="23" t="str">
        <f>IF(E48=5, 200, IF(E48=3, 150, IF(E48=2, 50, "")))</f>
        <v/>
      </c>
      <c r="M48" s="23" t="str">
        <f t="shared" si="1"/>
        <v/>
      </c>
      <c r="N48" s="23"/>
      <c r="O48" s="23"/>
      <c r="P48" s="6"/>
      <c r="Q48" s="6"/>
      <c r="R48" s="24">
        <f>SUM(K48:Q48)</f>
        <v>150</v>
      </c>
      <c r="T48" s="33">
        <f>(R48+J48)*2</f>
        <v>820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155</v>
      </c>
      <c r="D49" s="20">
        <v>26</v>
      </c>
      <c r="E49" s="1"/>
      <c r="F49" s="1"/>
      <c r="G49" s="1"/>
      <c r="H49" s="1"/>
      <c r="I49" s="1"/>
      <c r="J49" s="19">
        <f>(D49*D$60)+(E49*E$60)+(F49*F$60)+(G49*G$60)+(H49*H$60)+(I49*I$60)</f>
        <v>130</v>
      </c>
      <c r="K49" s="43" t="str">
        <f>IF(D49&gt;=100, 250, IF(D49&gt;=50, 150, IF(D49&gt;=30, 50, "")))</f>
        <v/>
      </c>
      <c r="L49" s="20" t="str">
        <f>IF(E49=5, 200, IF(E49=3, 150, IF(E49=2, 50, "")))</f>
        <v/>
      </c>
      <c r="M49" s="20" t="str">
        <f t="shared" si="1"/>
        <v/>
      </c>
      <c r="N49" s="20"/>
      <c r="O49" s="20"/>
      <c r="P49" s="1"/>
      <c r="Q49" s="1"/>
      <c r="R49" s="17">
        <f>SUM(K49:Q49)</f>
        <v>0</v>
      </c>
      <c r="T49" s="14">
        <f>R49+J49</f>
        <v>130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156</v>
      </c>
      <c r="D50" s="20">
        <v>18</v>
      </c>
      <c r="E50" s="1">
        <v>2</v>
      </c>
      <c r="F50" s="1"/>
      <c r="G50" s="1"/>
      <c r="H50" s="1">
        <v>1</v>
      </c>
      <c r="I50" s="1"/>
      <c r="J50" s="19">
        <f>(D50*D$60)+(E50*E$60)+(F50*F$60)+(G50*G$60)+(H50*H$60)+(I50*I$60)</f>
        <v>340</v>
      </c>
      <c r="K50" s="43" t="str">
        <f>IF(D50&gt;=100, 250, IF(D50&gt;=50, 150, IF(D50&gt;=30, 50, "")))</f>
        <v/>
      </c>
      <c r="L50" s="20">
        <f>IF(E50=5, 200, IF(E50=3, 150, IF(E50=2, 50, "")))</f>
        <v>50</v>
      </c>
      <c r="M50" s="20" t="str">
        <f t="shared" si="1"/>
        <v/>
      </c>
      <c r="N50" s="20"/>
      <c r="O50" s="20"/>
      <c r="P50" s="1">
        <v>100</v>
      </c>
      <c r="Q50" s="1"/>
      <c r="R50" s="17">
        <f>SUM(K50:Q50)</f>
        <v>150</v>
      </c>
      <c r="T50" s="14">
        <f>R50+J50</f>
        <v>490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54</v>
      </c>
      <c r="D51" s="20"/>
      <c r="E51" s="1">
        <v>1</v>
      </c>
      <c r="F51" s="1"/>
      <c r="G51" s="1"/>
      <c r="H51" s="1"/>
      <c r="I51" s="1"/>
      <c r="J51" s="19">
        <f>(D51*D$60)+(E51*E$60)+(F51*F$60)+(G51*G$60)+(H51*H$60)+(I51*I$60)</f>
        <v>100</v>
      </c>
      <c r="K51" s="43" t="str">
        <f>IF(D51&gt;=100, 250, IF(D51&gt;=50, 150, IF(D51&gt;=30, 50, "")))</f>
        <v/>
      </c>
      <c r="L51" s="20" t="str">
        <f>IF(E51=5, 200, IF(E51=3, 150, IF(E51=2, 50, "")))</f>
        <v/>
      </c>
      <c r="M51" s="20" t="str">
        <f t="shared" si="1"/>
        <v/>
      </c>
      <c r="N51" s="20"/>
      <c r="O51" s="20"/>
      <c r="P51" s="1"/>
      <c r="Q51" s="1"/>
      <c r="R51" s="17">
        <f>SUM(K51:Q51)</f>
        <v>0</v>
      </c>
      <c r="T51" s="14">
        <f>R51+J51</f>
        <v>100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157</v>
      </c>
      <c r="D52" s="12">
        <v>36</v>
      </c>
      <c r="E52" s="10"/>
      <c r="F52" s="10"/>
      <c r="G52" s="10"/>
      <c r="H52" s="10"/>
      <c r="I52" s="10"/>
      <c r="J52" s="11">
        <f>(D52*D$60)+(E52*E$60)+(F52*F$60)+(G52*G$60)+(H52*H$60)+(I52*I$60)</f>
        <v>180</v>
      </c>
      <c r="K52" s="9">
        <f>IF(D52&gt;=100, 250, IF(D52&gt;=50, 150, IF(D52&gt;=30, 50, "")))</f>
        <v>50</v>
      </c>
      <c r="L52" s="12" t="str">
        <f>IF(E52=5, 200, IF(E52=3, 150, IF(E52=2, 50, "")))</f>
        <v/>
      </c>
      <c r="M52" s="12" t="str">
        <f t="shared" si="1"/>
        <v/>
      </c>
      <c r="N52" s="12"/>
      <c r="O52" s="12">
        <v>150</v>
      </c>
      <c r="P52" s="10"/>
      <c r="Q52" s="10"/>
      <c r="R52" s="13">
        <f>SUM(K52:Q52)</f>
        <v>200</v>
      </c>
      <c r="T52" s="34">
        <f>R52+J52</f>
        <v>380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1920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SUM(X62:X64)</f>
        <v>1585</v>
      </c>
      <c r="Y61" s="42">
        <f>SUM(Y62:Y64)</f>
        <v>-1420</v>
      </c>
      <c r="Z61" s="42">
        <f>SUM(Z62:Z64)</f>
        <v>3430</v>
      </c>
      <c r="AA61" s="42">
        <f>SUM(AA62:AA64)</f>
        <v>-3595</v>
      </c>
    </row>
    <row r="62" spans="2:27" x14ac:dyDescent="0.3">
      <c r="B62" s="66" t="s">
        <v>95</v>
      </c>
      <c r="C62" s="38" t="s">
        <v>36</v>
      </c>
      <c r="D62" s="5">
        <v>65</v>
      </c>
      <c r="E62" s="6"/>
      <c r="F62" s="6"/>
      <c r="G62" s="6"/>
      <c r="H62" s="6"/>
      <c r="I62" s="6"/>
      <c r="J62" s="7">
        <f>(D62*D$60)+(E62*E$60)+(F62*F$60)+(G62*G$60)+(H62*H$60)+(I62*I$60)</f>
        <v>325</v>
      </c>
      <c r="K62" s="15">
        <f>IF(D62&gt;=100, 250, IF(D62&gt;=50, 150, IF(D62&gt;=30, 50, "")))</f>
        <v>150</v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150</v>
      </c>
      <c r="T62" s="14">
        <f>(R62+J62)*2</f>
        <v>950</v>
      </c>
      <c r="V62" s="28">
        <v>1</v>
      </c>
      <c r="W62" s="29">
        <v>45738</v>
      </c>
      <c r="X62" s="28">
        <v>-875</v>
      </c>
      <c r="Y62" s="28">
        <v>-175</v>
      </c>
      <c r="Z62" s="28">
        <v>2065</v>
      </c>
      <c r="AA62" s="28">
        <v>-1015</v>
      </c>
    </row>
    <row r="63" spans="2:27" x14ac:dyDescent="0.3">
      <c r="B63" s="67"/>
      <c r="C63" s="4" t="s">
        <v>51</v>
      </c>
      <c r="D63" s="18">
        <v>1</v>
      </c>
      <c r="E63" s="1"/>
      <c r="F63" s="1"/>
      <c r="G63" s="1"/>
      <c r="H63" s="1"/>
      <c r="I63" s="1"/>
      <c r="J63" s="19">
        <f>(D63*D$60)+(E63*E$60)+(F63*F$60)+(G63*G$60)+(H63*H$60)+(I63*I$60)</f>
        <v>5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5</v>
      </c>
      <c r="V63" s="28">
        <v>2</v>
      </c>
      <c r="W63" s="29">
        <v>45739</v>
      </c>
      <c r="X63" s="28">
        <v>2810</v>
      </c>
      <c r="Y63" s="28">
        <v>-815</v>
      </c>
      <c r="Z63" s="28">
        <v>-790</v>
      </c>
      <c r="AA63" s="28">
        <v>-1205</v>
      </c>
    </row>
    <row r="64" spans="2:27" x14ac:dyDescent="0.3">
      <c r="B64" s="67"/>
      <c r="C64" s="4" t="s">
        <v>23</v>
      </c>
      <c r="D64" s="18">
        <v>28</v>
      </c>
      <c r="E64" s="1">
        <v>1</v>
      </c>
      <c r="F64" s="1">
        <v>1</v>
      </c>
      <c r="G64" s="1"/>
      <c r="H64" s="1"/>
      <c r="I64" s="1"/>
      <c r="J64" s="19">
        <f>(D64*D$60)+(E64*E$60)+(F64*F$60)+(G64*G$60)+(H64*H$60)+(I64*I$60)</f>
        <v>290</v>
      </c>
      <c r="K64" s="15" t="str">
        <f>IF(D64&gt;=100, 250, IF(D64&gt;=50, 150, IF(D64&gt;=30, 50, "")))</f>
        <v/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/>
      <c r="P64" s="1"/>
      <c r="Q64" s="1"/>
      <c r="R64" s="17">
        <f>SUM(K64:Q64)</f>
        <v>0</v>
      </c>
      <c r="T64" s="14">
        <f>R64+J64</f>
        <v>290</v>
      </c>
      <c r="V64" s="28">
        <v>3</v>
      </c>
      <c r="W64" s="29">
        <v>45739</v>
      </c>
      <c r="X64" s="28">
        <f>T67-T79</f>
        <v>-350</v>
      </c>
      <c r="Y64" s="28">
        <f>T73-T79</f>
        <v>-430</v>
      </c>
      <c r="Z64" s="28">
        <f>-(X64+Y64+AA64)</f>
        <v>2155</v>
      </c>
      <c r="AA64" s="28">
        <f>T85-T79</f>
        <v>-1375</v>
      </c>
    </row>
    <row r="65" spans="2:27" x14ac:dyDescent="0.3">
      <c r="B65" s="67"/>
      <c r="C65" s="4" t="s">
        <v>68</v>
      </c>
      <c r="D65" s="18"/>
      <c r="E65" s="1">
        <v>1</v>
      </c>
      <c r="F65" s="1"/>
      <c r="G65" s="1"/>
      <c r="H65" s="1"/>
      <c r="I65" s="1"/>
      <c r="J65" s="19">
        <f>(D65*D$60)+(E65*E$60)+(F65*F$60)+(G65*G$60)+(H65*H$60)+(I65*I$60)</f>
        <v>100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79</v>
      </c>
      <c r="D66" s="9">
        <v>3</v>
      </c>
      <c r="E66" s="10"/>
      <c r="F66" s="10"/>
      <c r="G66" s="10"/>
      <c r="H66" s="10"/>
      <c r="I66" s="10"/>
      <c r="J66" s="11">
        <f>(D66*D$60)+(E66*E$60)+(F66*F$60)+(G66*G$60)+(H66*H$60)+(I66*I$60)</f>
        <v>15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1360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114</v>
      </c>
      <c r="D68" s="23">
        <v>11</v>
      </c>
      <c r="E68" s="6">
        <v>1</v>
      </c>
      <c r="F68" s="6"/>
      <c r="G68" s="6"/>
      <c r="H68" s="6">
        <v>1</v>
      </c>
      <c r="I68" s="6"/>
      <c r="J68" s="7">
        <f>(D68*D$60)+(E68*E$60)+(F68*F$60)+(G68*G$60)+(H68*H$60)+(I68*I$60)</f>
        <v>205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410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55</v>
      </c>
      <c r="D69" s="20">
        <v>31</v>
      </c>
      <c r="E69" s="1"/>
      <c r="F69" s="1"/>
      <c r="G69" s="1"/>
      <c r="H69" s="1">
        <v>1</v>
      </c>
      <c r="I69" s="1"/>
      <c r="J69" s="19">
        <f>(D69*D$60)+(E69*E$60)+(F69*F$60)+(G69*G$60)+(H69*H$60)+(I69*I$60)</f>
        <v>205</v>
      </c>
      <c r="K69" s="43">
        <f>IF(D69&gt;=100, 250, IF(D69&gt;=50, 150, IF(D69&gt;=30, 50, "")))</f>
        <v>50</v>
      </c>
      <c r="L69" s="20" t="str">
        <f>IF(E69=5, 200, IF(E69=3, 150, IF(E69=2, 50, "")))</f>
        <v/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255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88</v>
      </c>
      <c r="D70" s="20">
        <v>11</v>
      </c>
      <c r="E70" s="1"/>
      <c r="F70" s="1"/>
      <c r="G70" s="1"/>
      <c r="H70" s="1"/>
      <c r="I70" s="1"/>
      <c r="J70" s="19">
        <f>(D70*D$60)+(E70*E$60)+(F70*F$60)+(G70*G$60)+(H70*H$60)+(I70*I$60)</f>
        <v>55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55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26</v>
      </c>
      <c r="D71" s="20"/>
      <c r="E71" s="1">
        <v>4</v>
      </c>
      <c r="F71" s="1"/>
      <c r="G71" s="1"/>
      <c r="H71" s="1"/>
      <c r="I71" s="1"/>
      <c r="J71" s="19">
        <f>(D71*D$60)+(E71*E$60)+(F71*F$60)+(G71*G$60)+(H71*H$60)+(I71*I$60)</f>
        <v>400</v>
      </c>
      <c r="K71" s="43" t="str">
        <f>IF(D71&gt;=100, 250, IF(D71&gt;=50, 150, IF(D71&gt;=30, 50, "")))</f>
        <v/>
      </c>
      <c r="L71" s="20">
        <v>150</v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150</v>
      </c>
      <c r="T71" s="14">
        <f>R71+J71</f>
        <v>550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115</v>
      </c>
      <c r="D72" s="12">
        <v>2</v>
      </c>
      <c r="E72" s="10"/>
      <c r="F72" s="10"/>
      <c r="G72" s="10"/>
      <c r="H72" s="10"/>
      <c r="I72" s="10"/>
      <c r="J72" s="11">
        <f>(D72*D$60)+(E72*E$60)+(F72*F$60)+(G72*G$60)+(H72*H$60)+(I72*I$60)</f>
        <v>10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10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1280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72</v>
      </c>
      <c r="D74" s="23">
        <v>53</v>
      </c>
      <c r="E74" s="6"/>
      <c r="F74" s="6"/>
      <c r="G74" s="6"/>
      <c r="H74" s="6">
        <v>1</v>
      </c>
      <c r="I74" s="6"/>
      <c r="J74" s="7">
        <f>(D74*D$60)+(E74*E$60)+(F74*F$60)+(G74*G$60)+(H74*H$60)+(I74*I$60)</f>
        <v>315</v>
      </c>
      <c r="K74" s="5">
        <f>IF(D74&gt;=100, 250, IF(D74&gt;=50, 150, IF(D74&gt;=30, 50, "")))</f>
        <v>150</v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150</v>
      </c>
      <c r="T74" s="33">
        <f>(R74+J74)*2</f>
        <v>930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111</v>
      </c>
      <c r="D75" s="20">
        <v>13</v>
      </c>
      <c r="E75" s="1"/>
      <c r="F75" s="1">
        <v>1</v>
      </c>
      <c r="G75" s="1"/>
      <c r="H75" s="1">
        <v>1</v>
      </c>
      <c r="I75" s="1"/>
      <c r="J75" s="19">
        <f>(D75*D$60)+(E75*E$60)+(F75*F$60)+(G75*G$60)+(H75*H$60)+(I75*I$60)</f>
        <v>165</v>
      </c>
      <c r="K75" s="43" t="str">
        <f>IF(D75&gt;=100, 250, IF(D75&gt;=50, 150, IF(D75&gt;=30, 50, "")))</f>
        <v/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0</v>
      </c>
      <c r="T75" s="14">
        <f>R75+J75</f>
        <v>165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66</v>
      </c>
      <c r="D76" s="20">
        <v>9</v>
      </c>
      <c r="E76" s="1"/>
      <c r="F76" s="1"/>
      <c r="G76" s="1"/>
      <c r="H76" s="1">
        <v>2</v>
      </c>
      <c r="I76" s="1"/>
      <c r="J76" s="19">
        <f>(D76*D$60)+(E76*E$60)+(F76*F$60)+(G76*G$60)+(H76*H$60)+(I76*I$60)</f>
        <v>145</v>
      </c>
      <c r="K76" s="43" t="str">
        <f>IF(D76&gt;=100, 250, IF(D76&gt;=50, 150, IF(D76&gt;=30, 50, "")))</f>
        <v/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0</v>
      </c>
      <c r="T76" s="14">
        <f>R76+J76</f>
        <v>145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42</v>
      </c>
      <c r="D77" s="20">
        <v>4</v>
      </c>
      <c r="E77" s="1"/>
      <c r="F77" s="1"/>
      <c r="G77" s="1"/>
      <c r="H77" s="1"/>
      <c r="I77" s="1"/>
      <c r="J77" s="19">
        <f>(D77*D$60)+(E77*E$60)+(F77*F$60)+(G77*G$60)+(H77*H$60)+(I77*I$60)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77</v>
      </c>
      <c r="D78" s="12"/>
      <c r="E78" s="10">
        <v>3</v>
      </c>
      <c r="F78" s="10"/>
      <c r="G78" s="10"/>
      <c r="H78" s="10"/>
      <c r="I78" s="10"/>
      <c r="J78" s="11">
        <f>(D78*D$60)+(E78*E$60)+(F78*F$60)+(G78*G$60)+(H78*H$60)+(I78*I$60)</f>
        <v>300</v>
      </c>
      <c r="K78" s="9" t="str">
        <f>IF(D78&gt;=100, 250, IF(D78&gt;=50, 150, IF(D78&gt;=30, 50, "")))</f>
        <v/>
      </c>
      <c r="L78" s="12">
        <f>IF(E78=5, 200, IF(E78=3, 150, IF(E78=2, 50, "")))</f>
        <v>150</v>
      </c>
      <c r="M78" s="12" t="str">
        <f>IF(H78=3,100,IF(H78=5,200,""))</f>
        <v/>
      </c>
      <c r="N78" s="12"/>
      <c r="O78" s="12"/>
      <c r="P78" s="10"/>
      <c r="Q78" s="10"/>
      <c r="R78" s="13">
        <f>SUM(K78:Q78)</f>
        <v>150</v>
      </c>
      <c r="T78" s="34">
        <f>R78+J78</f>
        <v>450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1710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57</v>
      </c>
      <c r="D80" s="23">
        <v>0</v>
      </c>
      <c r="E80" s="6"/>
      <c r="F80" s="6"/>
      <c r="G80" s="6"/>
      <c r="H80" s="6"/>
      <c r="I80" s="6">
        <v>1</v>
      </c>
      <c r="J80" s="7">
        <f>(D80*D$60)+(E80*E$60)+(F80*F$60)+(G80*G$60)+(H80*H$60)+(I80*I$60)</f>
        <v>-50</v>
      </c>
      <c r="K80" s="5" t="str">
        <f>IF(D80&gt;=100, 250, IF(D80&gt;=50, 150, IF(D80&gt;=30, 50, "")))</f>
        <v/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0</v>
      </c>
      <c r="T80" s="33">
        <f>(R80+J80)*2</f>
        <v>-100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70</v>
      </c>
      <c r="D81" s="20">
        <v>29</v>
      </c>
      <c r="E81" s="1"/>
      <c r="F81" s="1"/>
      <c r="G81" s="1"/>
      <c r="H81" s="1"/>
      <c r="I81" s="1"/>
      <c r="J81" s="19">
        <f>(D81*D$60)+(E81*E$60)+(F81*F$60)+(G81*G$60)+(H81*H$60)+(I81*I$60)</f>
        <v>145</v>
      </c>
      <c r="K81" s="43" t="str">
        <f>IF(D81&gt;=100, 250, IF(D81&gt;=50, 150, IF(D81&gt;=30, 50, "")))</f>
        <v/>
      </c>
      <c r="L81" s="20" t="str">
        <f>IF(E81=5, 200, IF(E81=3, 150, IF(E81=2, 50, "")))</f>
        <v/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0</v>
      </c>
      <c r="T81" s="14">
        <f>R81+J81</f>
        <v>145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59</v>
      </c>
      <c r="D82" s="20">
        <v>17</v>
      </c>
      <c r="E82" s="1"/>
      <c r="F82" s="1"/>
      <c r="G82" s="1"/>
      <c r="H82" s="1">
        <v>1</v>
      </c>
      <c r="I82" s="1"/>
      <c r="J82" s="19">
        <f>(D82*D$60)+(E82*E$60)+(F82*F$60)+(G82*G$60)+(H82*H$60)+(I82*I$60)</f>
        <v>135</v>
      </c>
      <c r="K82" s="43" t="str">
        <f>IF(D82&gt;=100, 250, IF(D82&gt;=50, 150, IF(D82&gt;=30, 50, "")))</f>
        <v/>
      </c>
      <c r="L82" s="20" t="str">
        <f>IF(E82=5, 200, IF(E82=3, 150, IF(E82=2, 50, "")))</f>
        <v/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0</v>
      </c>
      <c r="T82" s="14">
        <f>R82+J82</f>
        <v>135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112</v>
      </c>
      <c r="D83" s="20"/>
      <c r="E83" s="1">
        <v>1</v>
      </c>
      <c r="F83" s="1"/>
      <c r="G83" s="1"/>
      <c r="H83" s="1"/>
      <c r="I83" s="1"/>
      <c r="J83" s="19">
        <f>(D83*D$60)+(E83*E$60)+(F83*F$60)+(G83*G$60)+(H83*H$60)+(I83*I$60)</f>
        <v>100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113</v>
      </c>
      <c r="D84" s="12">
        <v>1</v>
      </c>
      <c r="E84" s="10"/>
      <c r="F84" s="10"/>
      <c r="G84" s="10"/>
      <c r="H84" s="10">
        <v>1</v>
      </c>
      <c r="I84" s="10"/>
      <c r="J84" s="11">
        <f>(D84*D$60)+(E84*E$60)+(F84*F$60)+(G84*G$60)+(H84*H$60)+(I84*I$60)</f>
        <v>55</v>
      </c>
      <c r="K84" s="9" t="str">
        <f>IF(D84&gt;=100, 250, IF(D84&gt;=50, 150, IF(D84&gt;=30, 50, "")))</f>
        <v/>
      </c>
      <c r="L84" s="12" t="str">
        <f>IF(E84=5, 200, IF(E84=3, 150, IF(E84=2, 50, "")))</f>
        <v/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0</v>
      </c>
      <c r="T84" s="34">
        <f>R84+J84</f>
        <v>55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335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AI85"/>
  <sheetViews>
    <sheetView zoomScaleNormal="100" workbookViewId="0">
      <selection activeCell="V28" sqref="V28:AA37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35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5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5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5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5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5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5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5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5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5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5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5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  <c r="AF28" s="36" t="s">
        <v>95</v>
      </c>
      <c r="AG28" s="35" t="s">
        <v>96</v>
      </c>
      <c r="AH28" s="35" t="s">
        <v>97</v>
      </c>
      <c r="AI28" s="35" t="s">
        <v>98</v>
      </c>
    </row>
    <row r="29" spans="2:35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-4745</v>
      </c>
      <c r="Y29" s="42">
        <f>SUM(Y30:Y37)</f>
        <v>2405</v>
      </c>
      <c r="Z29" s="42">
        <f>SUM(Z30:Z37)</f>
        <v>10275</v>
      </c>
      <c r="AA29" s="42">
        <f>SUM(AA30:AA37)</f>
        <v>-7935</v>
      </c>
      <c r="AE29" s="3" t="s">
        <v>165</v>
      </c>
      <c r="AF29" s="42">
        <v>-4745</v>
      </c>
      <c r="AG29" s="42">
        <v>2405</v>
      </c>
      <c r="AH29" s="42">
        <v>10275</v>
      </c>
      <c r="AI29" s="42">
        <v>-7935</v>
      </c>
    </row>
    <row r="30" spans="2:35" x14ac:dyDescent="0.3">
      <c r="B30" s="66" t="s">
        <v>95</v>
      </c>
      <c r="C30" s="38" t="s">
        <v>36</v>
      </c>
      <c r="D30" s="5">
        <v>41</v>
      </c>
      <c r="E30" s="6"/>
      <c r="F30" s="6"/>
      <c r="G30" s="6"/>
      <c r="H30" s="6">
        <v>1</v>
      </c>
      <c r="I30" s="6"/>
      <c r="J30" s="7">
        <f>(D30*D$60)+(E30*E$60)+(F30*F$60)+(G30*G$60)+(H30*H$60)+(I30*I$60)</f>
        <v>255</v>
      </c>
      <c r="K30" s="15">
        <f>IF(D30&gt;=100, 250, IF(D30&gt;=50, 150, IF(D30&gt;=30, 50, "")))</f>
        <v>50</v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50</v>
      </c>
      <c r="T30" s="14">
        <f>(R30+J30)*2</f>
        <v>610</v>
      </c>
      <c r="V30" s="28">
        <v>1</v>
      </c>
      <c r="W30" s="29">
        <v>45738</v>
      </c>
      <c r="X30" s="28">
        <v>-875</v>
      </c>
      <c r="Y30" s="28">
        <v>-175</v>
      </c>
      <c r="Z30" s="28">
        <v>2065</v>
      </c>
      <c r="AA30" s="28">
        <v>-1015</v>
      </c>
    </row>
    <row r="31" spans="2:35" x14ac:dyDescent="0.3">
      <c r="B31" s="67"/>
      <c r="C31" s="4" t="s">
        <v>35</v>
      </c>
      <c r="D31" s="18">
        <v>51</v>
      </c>
      <c r="E31" s="1"/>
      <c r="F31" s="1"/>
      <c r="G31" s="1"/>
      <c r="H31" s="1"/>
      <c r="I31" s="1"/>
      <c r="J31" s="19">
        <f>(D31*D$60)+(E31*E$60)+(F31*F$60)+(G31*G$60)+(H31*H$60)+(I31*I$60)</f>
        <v>255</v>
      </c>
      <c r="K31" s="15">
        <f>IF(D31&gt;=100, 250, IF(D31&gt;=50, 150, IF(D31&gt;=30, 50, "")))</f>
        <v>150</v>
      </c>
      <c r="L31" s="20" t="str">
        <f t="shared" ref="L31:L52" si="0">IF(E31=5, 200, IF(E31=3, 150, IF(E31=2, 50, "")))</f>
        <v/>
      </c>
      <c r="M31" s="20" t="str">
        <f t="shared" ref="M31:M33" si="1">IF(H31=3,100,IF(H31=5,200,""))</f>
        <v/>
      </c>
      <c r="N31" s="20"/>
      <c r="O31" s="20"/>
      <c r="P31" s="1"/>
      <c r="Q31" s="1"/>
      <c r="R31" s="17">
        <f>SUM(K31:Q31)</f>
        <v>150</v>
      </c>
      <c r="T31" s="14">
        <f>R31+J31</f>
        <v>405</v>
      </c>
      <c r="V31" s="28">
        <v>2</v>
      </c>
      <c r="W31" s="29">
        <v>45739</v>
      </c>
      <c r="X31" s="28">
        <v>2810</v>
      </c>
      <c r="Y31" s="28">
        <v>-815</v>
      </c>
      <c r="Z31" s="28">
        <v>-790</v>
      </c>
      <c r="AA31" s="28">
        <v>-1205</v>
      </c>
    </row>
    <row r="32" spans="2:35" x14ac:dyDescent="0.3">
      <c r="B32" s="67"/>
      <c r="C32" s="4" t="s">
        <v>40</v>
      </c>
      <c r="D32" s="18">
        <v>10</v>
      </c>
      <c r="E32" s="1">
        <v>2</v>
      </c>
      <c r="F32" s="1"/>
      <c r="G32" s="1"/>
      <c r="H32" s="1"/>
      <c r="I32" s="1"/>
      <c r="J32" s="19">
        <f>(D32*D$60)+(E32*E$60)+(F32*F$60)+(G32*G$60)+(H32*H$60)+(I32*I$60)</f>
        <v>250</v>
      </c>
      <c r="K32" s="15" t="str">
        <f>IF(D32&gt;=100, 250, IF(D32&gt;=50, 150, IF(D32&gt;=30, 50, "")))</f>
        <v/>
      </c>
      <c r="L32" s="20">
        <f t="shared" si="0"/>
        <v>50</v>
      </c>
      <c r="M32" s="20" t="str">
        <f t="shared" si="1"/>
        <v/>
      </c>
      <c r="N32" s="20"/>
      <c r="O32" s="20"/>
      <c r="P32" s="1"/>
      <c r="Q32" s="1"/>
      <c r="R32" s="17">
        <f>SUM(K32:Q32)</f>
        <v>50</v>
      </c>
      <c r="T32" s="14">
        <f>R32+J32</f>
        <v>300</v>
      </c>
      <c r="V32" s="28">
        <v>3</v>
      </c>
      <c r="W32" s="29">
        <v>45739</v>
      </c>
      <c r="X32" s="28">
        <v>-350</v>
      </c>
      <c r="Y32" s="28">
        <v>-430</v>
      </c>
      <c r="Z32" s="28">
        <v>2155</v>
      </c>
      <c r="AA32" s="28">
        <v>-1375</v>
      </c>
    </row>
    <row r="33" spans="2:27" x14ac:dyDescent="0.3">
      <c r="B33" s="67"/>
      <c r="C33" s="4" t="s">
        <v>77</v>
      </c>
      <c r="D33" s="18"/>
      <c r="E33" s="1">
        <v>1</v>
      </c>
      <c r="F33" s="1"/>
      <c r="G33" s="1"/>
      <c r="H33" s="1"/>
      <c r="I33" s="1"/>
      <c r="J33" s="19">
        <f>(D33*D$60)+(E33*E$60)+(F33*F$60)+(G33*G$60)+(H33*H$60)+(I33*I$60)</f>
        <v>100</v>
      </c>
      <c r="K33" s="15" t="str">
        <f>IF(D33&gt;=100, 250, IF(D33&gt;=50, 150, IF(D33&gt;=30, 50, "")))</f>
        <v/>
      </c>
      <c r="L33" s="20" t="str">
        <f t="shared" si="0"/>
        <v/>
      </c>
      <c r="M33" s="20" t="str">
        <f t="shared" si="1"/>
        <v/>
      </c>
      <c r="N33" s="20"/>
      <c r="O33" s="20"/>
      <c r="P33" s="1"/>
      <c r="Q33" s="1"/>
      <c r="R33" s="17">
        <f>SUM(K33:Q33)</f>
        <v>0</v>
      </c>
      <c r="T33" s="14">
        <f>R33+J33</f>
        <v>100</v>
      </c>
      <c r="V33" s="28">
        <v>4</v>
      </c>
      <c r="W33" s="29">
        <v>45740</v>
      </c>
      <c r="X33" s="28">
        <v>-1005</v>
      </c>
      <c r="Y33" s="28">
        <v>2125</v>
      </c>
      <c r="Z33" s="28">
        <v>-385</v>
      </c>
      <c r="AA33" s="28">
        <v>-735</v>
      </c>
    </row>
    <row r="34" spans="2:27" ht="15" thickBot="1" x14ac:dyDescent="0.35">
      <c r="B34" s="68"/>
      <c r="C34" s="21" t="s">
        <v>102</v>
      </c>
      <c r="D34" s="9"/>
      <c r="E34" s="10"/>
      <c r="F34" s="10"/>
      <c r="G34" s="10"/>
      <c r="H34" s="10"/>
      <c r="I34" s="10"/>
      <c r="J34" s="11">
        <f>(D34*D$60)+(E34*E$60)+(F34*F$60)+(G34*G$60)+(H34*H$60)+(I34*I$60)</f>
        <v>0</v>
      </c>
      <c r="K34" s="12" t="str">
        <f>IF(D34&gt;=100, 250, IF(D34&gt;=50, 150, IF(D34&gt;=30, 50, "")))</f>
        <v/>
      </c>
      <c r="L34" s="12" t="str">
        <f t="shared" si="0"/>
        <v/>
      </c>
      <c r="M34" s="12"/>
      <c r="N34" s="12"/>
      <c r="O34" s="12"/>
      <c r="P34" s="10"/>
      <c r="Q34" s="10"/>
      <c r="R34" s="13">
        <f>SUM(K34:Q34)</f>
        <v>0</v>
      </c>
      <c r="T34" s="22">
        <f>(R34+J34)</f>
        <v>0</v>
      </c>
      <c r="V34" s="28">
        <v>5</v>
      </c>
      <c r="W34" s="29">
        <v>45741</v>
      </c>
      <c r="X34" s="28">
        <v>-1005</v>
      </c>
      <c r="Y34" s="28">
        <v>2255</v>
      </c>
      <c r="Z34" s="28">
        <v>-950</v>
      </c>
      <c r="AA34" s="28">
        <v>-300</v>
      </c>
    </row>
    <row r="35" spans="2:27" ht="15" thickBot="1" x14ac:dyDescent="0.35">
      <c r="T35" s="37">
        <f>SUM(T30:T34)</f>
        <v>1415</v>
      </c>
      <c r="V35" s="28">
        <v>6</v>
      </c>
      <c r="W35" s="29">
        <v>45742</v>
      </c>
      <c r="X35" s="28">
        <v>-1855</v>
      </c>
      <c r="Y35" s="28">
        <v>-1425</v>
      </c>
      <c r="Z35" s="28">
        <v>5270</v>
      </c>
      <c r="AA35" s="28">
        <v>-1990</v>
      </c>
    </row>
    <row r="36" spans="2:27" x14ac:dyDescent="0.3">
      <c r="B36" s="66" t="s">
        <v>96</v>
      </c>
      <c r="C36" s="39" t="s">
        <v>46</v>
      </c>
      <c r="D36" s="23">
        <v>32</v>
      </c>
      <c r="E36" s="6"/>
      <c r="F36" s="6"/>
      <c r="G36" s="6"/>
      <c r="H36" s="6">
        <v>3</v>
      </c>
      <c r="I36" s="6"/>
      <c r="J36" s="7">
        <f>(D36*D$60)+(E36*E$60)+(F36*F$60)+(G36*G$60)+(H36*H$60)+(I36*I$60)</f>
        <v>310</v>
      </c>
      <c r="K36" s="5">
        <f>IF(D36&gt;=100, 250, IF(D36&gt;=50, 150, IF(D36&gt;=30, 50, "")))</f>
        <v>50</v>
      </c>
      <c r="L36" s="23" t="str">
        <f t="shared" si="0"/>
        <v/>
      </c>
      <c r="M36" s="23">
        <v>100</v>
      </c>
      <c r="N36" s="23"/>
      <c r="O36" s="23"/>
      <c r="P36" s="6"/>
      <c r="Q36" s="6"/>
      <c r="R36" s="24">
        <f>SUM(K36:Q36)</f>
        <v>150</v>
      </c>
      <c r="T36" s="33">
        <f>(R36+J36)*2</f>
        <v>920</v>
      </c>
      <c r="V36" s="28">
        <v>7</v>
      </c>
      <c r="W36" s="29">
        <v>45743</v>
      </c>
      <c r="X36" s="28">
        <v>-2050</v>
      </c>
      <c r="Y36" s="28">
        <v>-1570</v>
      </c>
      <c r="Z36" s="28">
        <v>4165</v>
      </c>
      <c r="AA36" s="28">
        <v>-545</v>
      </c>
    </row>
    <row r="37" spans="2:27" x14ac:dyDescent="0.3">
      <c r="B37" s="67"/>
      <c r="C37" s="19" t="s">
        <v>66</v>
      </c>
      <c r="D37" s="20">
        <v>19</v>
      </c>
      <c r="E37" s="1"/>
      <c r="F37" s="1"/>
      <c r="G37" s="1"/>
      <c r="H37" s="1"/>
      <c r="I37" s="1"/>
      <c r="J37" s="19">
        <f>(D37*D$60)+(E37*E$60)+(F37*F$60)+(G37*G$60)+(H37*H$60)+(I37*I$60)</f>
        <v>95</v>
      </c>
      <c r="K37" s="43" t="str">
        <f>IF(D37&gt;=100, 250, IF(D37&gt;=50, 150, IF(D37&gt;=30, 50, "")))</f>
        <v/>
      </c>
      <c r="L37" s="20" t="str">
        <f t="shared" si="0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95</v>
      </c>
      <c r="V37" s="28">
        <v>8</v>
      </c>
      <c r="W37" s="29">
        <v>45744</v>
      </c>
      <c r="X37" s="28">
        <f>T35-T41</f>
        <v>-415</v>
      </c>
      <c r="Y37" s="28">
        <f>-(X37+Z37+AA37)</f>
        <v>2440</v>
      </c>
      <c r="Z37" s="28">
        <f>T47-T41</f>
        <v>-1255</v>
      </c>
      <c r="AA37" s="28">
        <f>T53-T41</f>
        <v>-770</v>
      </c>
    </row>
    <row r="38" spans="2:27" x14ac:dyDescent="0.3">
      <c r="B38" s="67"/>
      <c r="C38" s="19" t="s">
        <v>158</v>
      </c>
      <c r="D38" s="20"/>
      <c r="E38" s="1">
        <v>3</v>
      </c>
      <c r="F38" s="1"/>
      <c r="G38" s="1"/>
      <c r="H38" s="1"/>
      <c r="I38" s="1"/>
      <c r="J38" s="19">
        <f>(D38*D$60)+(E38*E$60)+(F38*F$60)+(G38*G$60)+(H38*H$60)+(I38*I$60)</f>
        <v>300</v>
      </c>
      <c r="K38" s="43" t="str">
        <f>IF(D38&gt;=100, 250, IF(D38&gt;=50, 150, IF(D38&gt;=30, 50, "")))</f>
        <v/>
      </c>
      <c r="L38" s="20">
        <f t="shared" si="0"/>
        <v>150</v>
      </c>
      <c r="M38" s="20"/>
      <c r="N38" s="20"/>
      <c r="O38" s="20"/>
      <c r="P38" s="1"/>
      <c r="Q38" s="1"/>
      <c r="R38" s="17">
        <f>SUM(K38:Q38)</f>
        <v>150</v>
      </c>
      <c r="T38" s="14">
        <f>R38+J38</f>
        <v>450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68</v>
      </c>
      <c r="D39" s="20">
        <v>11</v>
      </c>
      <c r="E39" s="1">
        <v>1</v>
      </c>
      <c r="F39" s="1"/>
      <c r="G39" s="1"/>
      <c r="H39" s="1"/>
      <c r="I39" s="1"/>
      <c r="J39" s="19">
        <f>(D39*D$60)+(E39*E$60)+(F39*F$60)+(G39*G$60)+(H39*H$60)+(I39*I$60)</f>
        <v>155</v>
      </c>
      <c r="K39" s="43" t="str">
        <f>IF(D39&gt;=100, 250, IF(D39&gt;=50, 150, IF(D39&gt;=30, 50, "")))</f>
        <v/>
      </c>
      <c r="L39" s="20" t="str">
        <f t="shared" si="0"/>
        <v/>
      </c>
      <c r="M39" s="20"/>
      <c r="N39" s="20"/>
      <c r="O39" s="20"/>
      <c r="P39" s="1"/>
      <c r="Q39" s="1"/>
      <c r="R39" s="17">
        <f>SUM(K39:Q39)</f>
        <v>0</v>
      </c>
      <c r="T39" s="14">
        <f>R39+J39</f>
        <v>155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159</v>
      </c>
      <c r="D40" s="12">
        <v>22</v>
      </c>
      <c r="E40" s="10"/>
      <c r="F40" s="10"/>
      <c r="G40" s="10"/>
      <c r="H40" s="10"/>
      <c r="I40" s="10"/>
      <c r="J40" s="11">
        <f>(D40*D$60)+(E40*E$60)+(F40*F$60)+(G40*G$60)+(H40*H$60)+(I40*I$60)</f>
        <v>110</v>
      </c>
      <c r="K40" s="9" t="str">
        <f>IF(D40&gt;=100, 250, IF(D40&gt;=50, 150, IF(D40&gt;=30, 50, "")))</f>
        <v/>
      </c>
      <c r="L40" s="12" t="str">
        <f t="shared" si="0"/>
        <v/>
      </c>
      <c r="M40" s="12"/>
      <c r="N40" s="12"/>
      <c r="O40" s="12"/>
      <c r="P40" s="10">
        <v>100</v>
      </c>
      <c r="Q40" s="10"/>
      <c r="R40" s="13">
        <f>SUM(K40:Q40)</f>
        <v>100</v>
      </c>
      <c r="T40" s="34">
        <f>R40+J40</f>
        <v>210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1830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72</v>
      </c>
      <c r="D42" s="23">
        <v>0</v>
      </c>
      <c r="E42" s="6"/>
      <c r="F42" s="6"/>
      <c r="G42" s="6"/>
      <c r="H42" s="6">
        <v>1</v>
      </c>
      <c r="I42" s="6">
        <v>1</v>
      </c>
      <c r="J42" s="7">
        <f>(D42*D$60)+(E42*E$60)+(F42*F$60)+(G42*G$60)+(H42*H$60)+(I42*I$60)</f>
        <v>0</v>
      </c>
      <c r="K42" s="5" t="str">
        <f>IF(D42&gt;=100, 250, IF(D42&gt;=50, 150, IF(D42&gt;=30, 50, "")))</f>
        <v/>
      </c>
      <c r="L42" s="23" t="str">
        <f t="shared" si="0"/>
        <v/>
      </c>
      <c r="M42" s="23"/>
      <c r="N42" s="23"/>
      <c r="O42" s="23"/>
      <c r="P42" s="6"/>
      <c r="Q42" s="6"/>
      <c r="R42" s="24">
        <f>SUM(K42:Q42)</f>
        <v>0</v>
      </c>
      <c r="T42" s="33">
        <f>(R42+J42)*2</f>
        <v>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42</v>
      </c>
      <c r="D43" s="20">
        <v>8</v>
      </c>
      <c r="E43" s="1"/>
      <c r="F43" s="1"/>
      <c r="G43" s="1"/>
      <c r="H43" s="1">
        <v>1</v>
      </c>
      <c r="I43" s="1"/>
      <c r="J43" s="19">
        <f>(D43*D$60)+(E43*E$60)+(F43*F$60)+(G43*G$60)+(H43*H$60)+(I43*I$60)</f>
        <v>90</v>
      </c>
      <c r="K43" s="43" t="str">
        <f>IF(D43&gt;=100, 250, IF(D43&gt;=50, 150, IF(D43&gt;=30, 50, "")))</f>
        <v/>
      </c>
      <c r="L43" s="20" t="str">
        <f t="shared" si="0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90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160</v>
      </c>
      <c r="D44" s="20">
        <v>27</v>
      </c>
      <c r="E44" s="1"/>
      <c r="F44" s="1"/>
      <c r="G44" s="1"/>
      <c r="H44" s="1"/>
      <c r="I44" s="1"/>
      <c r="J44" s="19">
        <f>(D44*D$60)+(E44*E$60)+(F44*F$60)+(G44*G$60)+(H44*H$60)+(I44*I$60)</f>
        <v>135</v>
      </c>
      <c r="K44" s="43" t="str">
        <f>IF(D44&gt;=100, 250, IF(D44&gt;=50, 150, IF(D44&gt;=30, 50, "")))</f>
        <v/>
      </c>
      <c r="L44" s="20" t="str">
        <f t="shared" si="0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135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161</v>
      </c>
      <c r="D45" s="20"/>
      <c r="E45" s="1">
        <v>2</v>
      </c>
      <c r="F45" s="1"/>
      <c r="G45" s="1"/>
      <c r="H45" s="1"/>
      <c r="I45" s="1"/>
      <c r="J45" s="19">
        <f>(D45*D$60)+(E45*E$60)+(F45*F$60)+(G45*G$60)+(H45*H$60)+(I45*I$60)</f>
        <v>200</v>
      </c>
      <c r="K45" s="43" t="str">
        <f>IF(D45&gt;=100, 250, IF(D45&gt;=50, 150, IF(D45&gt;=30, 50, "")))</f>
        <v/>
      </c>
      <c r="L45" s="20">
        <f t="shared" si="0"/>
        <v>50</v>
      </c>
      <c r="M45" s="20"/>
      <c r="N45" s="20"/>
      <c r="O45" s="20"/>
      <c r="P45" s="1"/>
      <c r="Q45" s="1"/>
      <c r="R45" s="17">
        <f>SUM(K45:Q45)</f>
        <v>50</v>
      </c>
      <c r="T45" s="14">
        <f>R45+J45</f>
        <v>250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162</v>
      </c>
      <c r="D46" s="12"/>
      <c r="E46" s="10">
        <v>1</v>
      </c>
      <c r="F46" s="10"/>
      <c r="G46" s="10"/>
      <c r="H46" s="10"/>
      <c r="I46" s="10"/>
      <c r="J46" s="11">
        <f>(D46*D$60)+(E46*E$60)+(F46*F$60)+(G46*G$60)+(H46*H$60)+(I46*I$60)</f>
        <v>100</v>
      </c>
      <c r="K46" s="9" t="str">
        <f>IF(D46&gt;=100, 250, IF(D46&gt;=50, 150, IF(D46&gt;=30, 50, "")))</f>
        <v/>
      </c>
      <c r="L46" s="12" t="str">
        <f t="shared" si="0"/>
        <v/>
      </c>
      <c r="M46" s="12"/>
      <c r="N46" s="12"/>
      <c r="O46" s="12"/>
      <c r="P46" s="10"/>
      <c r="Q46" s="10"/>
      <c r="R46" s="13">
        <f>SUM(K46:Q46)</f>
        <v>0</v>
      </c>
      <c r="T46" s="34">
        <f>R46+J46</f>
        <v>100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575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163</v>
      </c>
      <c r="D48" s="23">
        <v>31</v>
      </c>
      <c r="E48" s="6"/>
      <c r="F48" s="6"/>
      <c r="G48" s="6"/>
      <c r="H48" s="6"/>
      <c r="I48" s="6"/>
      <c r="J48" s="7">
        <f>(D48*D$60)+(E48*E$60)+(F48*F$60)+(G48*G$60)+(H48*H$60)+(I48*I$60)</f>
        <v>155</v>
      </c>
      <c r="K48" s="5">
        <f>IF(D48&gt;=100, 250, IF(D48&gt;=50, 150, IF(D48&gt;=30, 50, "")))</f>
        <v>50</v>
      </c>
      <c r="L48" s="23" t="str">
        <f t="shared" si="0"/>
        <v/>
      </c>
      <c r="M48" s="23"/>
      <c r="N48" s="23"/>
      <c r="O48" s="23"/>
      <c r="P48" s="6"/>
      <c r="Q48" s="6"/>
      <c r="R48" s="24">
        <f>SUM(K48:Q48)</f>
        <v>50</v>
      </c>
      <c r="T48" s="33">
        <f>(R48+J48)*2</f>
        <v>410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115</v>
      </c>
      <c r="D49" s="20">
        <v>5</v>
      </c>
      <c r="E49" s="1"/>
      <c r="F49" s="1"/>
      <c r="G49" s="1"/>
      <c r="H49" s="1"/>
      <c r="I49" s="1"/>
      <c r="J49" s="19">
        <f>(D49*D$60)+(E49*E$60)+(F49*F$60)+(G49*G$60)+(H49*H$60)+(I49*I$60)</f>
        <v>25</v>
      </c>
      <c r="K49" s="43" t="str">
        <f>IF(D49&gt;=100, 250, IF(D49&gt;=50, 150, IF(D49&gt;=30, 50, "")))</f>
        <v/>
      </c>
      <c r="L49" s="20" t="str">
        <f t="shared" si="0"/>
        <v/>
      </c>
      <c r="M49" s="20"/>
      <c r="N49" s="20"/>
      <c r="O49" s="20"/>
      <c r="P49" s="1"/>
      <c r="Q49" s="1"/>
      <c r="R49" s="17">
        <f>SUM(K49:Q49)</f>
        <v>0</v>
      </c>
      <c r="T49" s="14">
        <f>R49+J49</f>
        <v>25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26</v>
      </c>
      <c r="D50" s="20"/>
      <c r="E50" s="1">
        <v>3</v>
      </c>
      <c r="F50" s="1"/>
      <c r="G50" s="1"/>
      <c r="H50" s="1"/>
      <c r="I50" s="1"/>
      <c r="J50" s="19">
        <f>(D50*D$60)+(E50*E$60)+(F50*F$60)+(G50*G$60)+(H50*H$60)+(I50*I$60)</f>
        <v>300</v>
      </c>
      <c r="K50" s="43" t="str">
        <f>IF(D50&gt;=100, 250, IF(D50&gt;=50, 150, IF(D50&gt;=30, 50, "")))</f>
        <v/>
      </c>
      <c r="L50" s="20">
        <f t="shared" si="0"/>
        <v>150</v>
      </c>
      <c r="M50" s="20"/>
      <c r="N50" s="20"/>
      <c r="O50" s="20"/>
      <c r="P50" s="1"/>
      <c r="Q50" s="1"/>
      <c r="R50" s="17">
        <f>SUM(K50:Q50)</f>
        <v>150</v>
      </c>
      <c r="T50" s="14">
        <f>R50+J50</f>
        <v>450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59</v>
      </c>
      <c r="D51" s="20">
        <v>25</v>
      </c>
      <c r="E51" s="1"/>
      <c r="F51" s="1"/>
      <c r="G51" s="1"/>
      <c r="H51" s="1">
        <v>1</v>
      </c>
      <c r="I51" s="1"/>
      <c r="J51" s="19">
        <f>(D51*D$60)+(E51*E$60)+(F51*F$60)+(G51*G$60)+(H51*H$60)+(I51*I$60)</f>
        <v>175</v>
      </c>
      <c r="K51" s="43" t="str">
        <f>IF(D51&gt;=100, 250, IF(D51&gt;=50, 150, IF(D51&gt;=30, 50, "")))</f>
        <v/>
      </c>
      <c r="L51" s="20" t="str">
        <f t="shared" si="0"/>
        <v/>
      </c>
      <c r="M51" s="20"/>
      <c r="N51" s="20"/>
      <c r="O51" s="20"/>
      <c r="P51" s="1"/>
      <c r="Q51" s="1"/>
      <c r="R51" s="17">
        <f>SUM(K51:Q51)</f>
        <v>0</v>
      </c>
      <c r="T51" s="14">
        <f>R51+J51</f>
        <v>175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164</v>
      </c>
      <c r="D52" s="12">
        <v>0</v>
      </c>
      <c r="E52" s="10"/>
      <c r="F52" s="10"/>
      <c r="G52" s="10"/>
      <c r="H52" s="10">
        <v>1</v>
      </c>
      <c r="I52" s="10">
        <v>1</v>
      </c>
      <c r="J52" s="11">
        <f>(D52*D$60)+(E52*E$60)+(F52*F$60)+(G52*G$60)+(H52*H$60)+(I52*I$60)</f>
        <v>0</v>
      </c>
      <c r="K52" s="9" t="str">
        <f>IF(D52&gt;=100, 250, IF(D52&gt;=50, 150, IF(D52&gt;=30, 50, "")))</f>
        <v/>
      </c>
      <c r="L52" s="12" t="str">
        <f t="shared" si="0"/>
        <v/>
      </c>
      <c r="M52" s="12"/>
      <c r="N52" s="12"/>
      <c r="O52" s="12"/>
      <c r="P52" s="10"/>
      <c r="Q52" s="10"/>
      <c r="R52" s="13">
        <f>SUM(K52:Q52)</f>
        <v>0</v>
      </c>
      <c r="T52" s="34">
        <f>R52+J52</f>
        <v>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1060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SUM(X62:X64)</f>
        <v>1585</v>
      </c>
      <c r="Y61" s="42">
        <f>SUM(Y62:Y64)</f>
        <v>-1420</v>
      </c>
      <c r="Z61" s="42">
        <f>SUM(Z62:Z64)</f>
        <v>3430</v>
      </c>
      <c r="AA61" s="42">
        <f>SUM(AA62:AA64)</f>
        <v>-3595</v>
      </c>
    </row>
    <row r="62" spans="2:27" x14ac:dyDescent="0.3">
      <c r="B62" s="66" t="s">
        <v>95</v>
      </c>
      <c r="C62" s="38" t="s">
        <v>36</v>
      </c>
      <c r="D62" s="5">
        <v>65</v>
      </c>
      <c r="E62" s="6"/>
      <c r="F62" s="6"/>
      <c r="G62" s="6"/>
      <c r="H62" s="6"/>
      <c r="I62" s="6"/>
      <c r="J62" s="7">
        <f>(D62*D$60)+(E62*E$60)+(F62*F$60)+(G62*G$60)+(H62*H$60)+(I62*I$60)</f>
        <v>325</v>
      </c>
      <c r="K62" s="15">
        <f>IF(D62&gt;=100, 250, IF(D62&gt;=50, 150, IF(D62&gt;=30, 50, "")))</f>
        <v>150</v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150</v>
      </c>
      <c r="T62" s="14">
        <f>(R62+J62)*2</f>
        <v>950</v>
      </c>
      <c r="V62" s="28">
        <v>1</v>
      </c>
      <c r="W62" s="29">
        <v>45738</v>
      </c>
      <c r="X62" s="28">
        <v>-875</v>
      </c>
      <c r="Y62" s="28">
        <v>-175</v>
      </c>
      <c r="Z62" s="28">
        <v>2065</v>
      </c>
      <c r="AA62" s="28">
        <v>-1015</v>
      </c>
    </row>
    <row r="63" spans="2:27" x14ac:dyDescent="0.3">
      <c r="B63" s="67"/>
      <c r="C63" s="4" t="s">
        <v>51</v>
      </c>
      <c r="D63" s="18">
        <v>1</v>
      </c>
      <c r="E63" s="1"/>
      <c r="F63" s="1"/>
      <c r="G63" s="1"/>
      <c r="H63" s="1"/>
      <c r="I63" s="1"/>
      <c r="J63" s="19">
        <f>(D63*D$60)+(E63*E$60)+(F63*F$60)+(G63*G$60)+(H63*H$60)+(I63*I$60)</f>
        <v>5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5</v>
      </c>
      <c r="V63" s="28">
        <v>2</v>
      </c>
      <c r="W63" s="29">
        <v>45739</v>
      </c>
      <c r="X63" s="28">
        <v>2810</v>
      </c>
      <c r="Y63" s="28">
        <v>-815</v>
      </c>
      <c r="Z63" s="28">
        <v>-790</v>
      </c>
      <c r="AA63" s="28">
        <v>-1205</v>
      </c>
    </row>
    <row r="64" spans="2:27" x14ac:dyDescent="0.3">
      <c r="B64" s="67"/>
      <c r="C64" s="4" t="s">
        <v>23</v>
      </c>
      <c r="D64" s="18">
        <v>28</v>
      </c>
      <c r="E64" s="1">
        <v>1</v>
      </c>
      <c r="F64" s="1">
        <v>1</v>
      </c>
      <c r="G64" s="1"/>
      <c r="H64" s="1"/>
      <c r="I64" s="1"/>
      <c r="J64" s="19">
        <f>(D64*D$60)+(E64*E$60)+(F64*F$60)+(G64*G$60)+(H64*H$60)+(I64*I$60)</f>
        <v>290</v>
      </c>
      <c r="K64" s="15" t="str">
        <f>IF(D64&gt;=100, 250, IF(D64&gt;=50, 150, IF(D64&gt;=30, 50, "")))</f>
        <v/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/>
      <c r="P64" s="1"/>
      <c r="Q64" s="1"/>
      <c r="R64" s="17">
        <f>SUM(K64:Q64)</f>
        <v>0</v>
      </c>
      <c r="T64" s="14">
        <f>R64+J64</f>
        <v>290</v>
      </c>
      <c r="V64" s="28">
        <v>3</v>
      </c>
      <c r="W64" s="29">
        <v>45739</v>
      </c>
      <c r="X64" s="28">
        <f>T67-T79</f>
        <v>-350</v>
      </c>
      <c r="Y64" s="28">
        <f>T73-T79</f>
        <v>-430</v>
      </c>
      <c r="Z64" s="28">
        <f>-(X64+Y64+AA64)</f>
        <v>2155</v>
      </c>
      <c r="AA64" s="28">
        <f>T85-T79</f>
        <v>-1375</v>
      </c>
    </row>
    <row r="65" spans="2:27" x14ac:dyDescent="0.3">
      <c r="B65" s="67"/>
      <c r="C65" s="4" t="s">
        <v>68</v>
      </c>
      <c r="D65" s="18"/>
      <c r="E65" s="1">
        <v>1</v>
      </c>
      <c r="F65" s="1"/>
      <c r="G65" s="1"/>
      <c r="H65" s="1"/>
      <c r="I65" s="1"/>
      <c r="J65" s="19">
        <f>(D65*D$60)+(E65*E$60)+(F65*F$60)+(G65*G$60)+(H65*H$60)+(I65*I$60)</f>
        <v>100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79</v>
      </c>
      <c r="D66" s="9">
        <v>3</v>
      </c>
      <c r="E66" s="10"/>
      <c r="F66" s="10"/>
      <c r="G66" s="10"/>
      <c r="H66" s="10"/>
      <c r="I66" s="10"/>
      <c r="J66" s="11">
        <f>(D66*D$60)+(E66*E$60)+(F66*F$60)+(G66*G$60)+(H66*H$60)+(I66*I$60)</f>
        <v>15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1360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114</v>
      </c>
      <c r="D68" s="23">
        <v>11</v>
      </c>
      <c r="E68" s="6">
        <v>1</v>
      </c>
      <c r="F68" s="6"/>
      <c r="G68" s="6"/>
      <c r="H68" s="6">
        <v>1</v>
      </c>
      <c r="I68" s="6"/>
      <c r="J68" s="7">
        <f>(D68*D$60)+(E68*E$60)+(F68*F$60)+(G68*G$60)+(H68*H$60)+(I68*I$60)</f>
        <v>205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410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55</v>
      </c>
      <c r="D69" s="20">
        <v>31</v>
      </c>
      <c r="E69" s="1"/>
      <c r="F69" s="1"/>
      <c r="G69" s="1"/>
      <c r="H69" s="1">
        <v>1</v>
      </c>
      <c r="I69" s="1"/>
      <c r="J69" s="19">
        <f>(D69*D$60)+(E69*E$60)+(F69*F$60)+(G69*G$60)+(H69*H$60)+(I69*I$60)</f>
        <v>205</v>
      </c>
      <c r="K69" s="43">
        <f>IF(D69&gt;=100, 250, IF(D69&gt;=50, 150, IF(D69&gt;=30, 50, "")))</f>
        <v>50</v>
      </c>
      <c r="L69" s="20" t="str">
        <f>IF(E69=5, 200, IF(E69=3, 150, IF(E69=2, 50, "")))</f>
        <v/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255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88</v>
      </c>
      <c r="D70" s="20">
        <v>11</v>
      </c>
      <c r="E70" s="1"/>
      <c r="F70" s="1"/>
      <c r="G70" s="1"/>
      <c r="H70" s="1"/>
      <c r="I70" s="1"/>
      <c r="J70" s="19">
        <f>(D70*D$60)+(E70*E$60)+(F70*F$60)+(G70*G$60)+(H70*H$60)+(I70*I$60)</f>
        <v>55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55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26</v>
      </c>
      <c r="D71" s="20"/>
      <c r="E71" s="1">
        <v>4</v>
      </c>
      <c r="F71" s="1"/>
      <c r="G71" s="1"/>
      <c r="H71" s="1"/>
      <c r="I71" s="1"/>
      <c r="J71" s="19">
        <f>(D71*D$60)+(E71*E$60)+(F71*F$60)+(G71*G$60)+(H71*H$60)+(I71*I$60)</f>
        <v>400</v>
      </c>
      <c r="K71" s="43" t="str">
        <f>IF(D71&gt;=100, 250, IF(D71&gt;=50, 150, IF(D71&gt;=30, 50, "")))</f>
        <v/>
      </c>
      <c r="L71" s="20">
        <v>150</v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150</v>
      </c>
      <c r="T71" s="14">
        <f>R71+J71</f>
        <v>550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115</v>
      </c>
      <c r="D72" s="12">
        <v>2</v>
      </c>
      <c r="E72" s="10"/>
      <c r="F72" s="10"/>
      <c r="G72" s="10"/>
      <c r="H72" s="10"/>
      <c r="I72" s="10"/>
      <c r="J72" s="11">
        <f>(D72*D$60)+(E72*E$60)+(F72*F$60)+(G72*G$60)+(H72*H$60)+(I72*I$60)</f>
        <v>10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10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1280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72</v>
      </c>
      <c r="D74" s="23">
        <v>53</v>
      </c>
      <c r="E74" s="6"/>
      <c r="F74" s="6"/>
      <c r="G74" s="6"/>
      <c r="H74" s="6">
        <v>1</v>
      </c>
      <c r="I74" s="6"/>
      <c r="J74" s="7">
        <f>(D74*D$60)+(E74*E$60)+(F74*F$60)+(G74*G$60)+(H74*H$60)+(I74*I$60)</f>
        <v>315</v>
      </c>
      <c r="K74" s="5">
        <f>IF(D74&gt;=100, 250, IF(D74&gt;=50, 150, IF(D74&gt;=30, 50, "")))</f>
        <v>150</v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150</v>
      </c>
      <c r="T74" s="33">
        <f>(R74+J74)*2</f>
        <v>930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111</v>
      </c>
      <c r="D75" s="20">
        <v>13</v>
      </c>
      <c r="E75" s="1"/>
      <c r="F75" s="1">
        <v>1</v>
      </c>
      <c r="G75" s="1"/>
      <c r="H75" s="1">
        <v>1</v>
      </c>
      <c r="I75" s="1"/>
      <c r="J75" s="19">
        <f>(D75*D$60)+(E75*E$60)+(F75*F$60)+(G75*G$60)+(H75*H$60)+(I75*I$60)</f>
        <v>165</v>
      </c>
      <c r="K75" s="43" t="str">
        <f>IF(D75&gt;=100, 250, IF(D75&gt;=50, 150, IF(D75&gt;=30, 50, "")))</f>
        <v/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0</v>
      </c>
      <c r="T75" s="14">
        <f>R75+J75</f>
        <v>165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66</v>
      </c>
      <c r="D76" s="20">
        <v>9</v>
      </c>
      <c r="E76" s="1"/>
      <c r="F76" s="1"/>
      <c r="G76" s="1"/>
      <c r="H76" s="1">
        <v>2</v>
      </c>
      <c r="I76" s="1"/>
      <c r="J76" s="19">
        <f>(D76*D$60)+(E76*E$60)+(F76*F$60)+(G76*G$60)+(H76*H$60)+(I76*I$60)</f>
        <v>145</v>
      </c>
      <c r="K76" s="43" t="str">
        <f>IF(D76&gt;=100, 250, IF(D76&gt;=50, 150, IF(D76&gt;=30, 50, "")))</f>
        <v/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0</v>
      </c>
      <c r="T76" s="14">
        <f>R76+J76</f>
        <v>145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42</v>
      </c>
      <c r="D77" s="20">
        <v>4</v>
      </c>
      <c r="E77" s="1"/>
      <c r="F77" s="1"/>
      <c r="G77" s="1"/>
      <c r="H77" s="1"/>
      <c r="I77" s="1"/>
      <c r="J77" s="19">
        <f>(D77*D$60)+(E77*E$60)+(F77*F$60)+(G77*G$60)+(H77*H$60)+(I77*I$60)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77</v>
      </c>
      <c r="D78" s="12"/>
      <c r="E78" s="10">
        <v>3</v>
      </c>
      <c r="F78" s="10"/>
      <c r="G78" s="10"/>
      <c r="H78" s="10"/>
      <c r="I78" s="10"/>
      <c r="J78" s="11">
        <f>(D78*D$60)+(E78*E$60)+(F78*F$60)+(G78*G$60)+(H78*H$60)+(I78*I$60)</f>
        <v>300</v>
      </c>
      <c r="K78" s="9" t="str">
        <f>IF(D78&gt;=100, 250, IF(D78&gt;=50, 150, IF(D78&gt;=30, 50, "")))</f>
        <v/>
      </c>
      <c r="L78" s="12">
        <f>IF(E78=5, 200, IF(E78=3, 150, IF(E78=2, 50, "")))</f>
        <v>150</v>
      </c>
      <c r="M78" s="12" t="str">
        <f>IF(H78=3,100,IF(H78=5,200,""))</f>
        <v/>
      </c>
      <c r="N78" s="12"/>
      <c r="O78" s="12"/>
      <c r="P78" s="10"/>
      <c r="Q78" s="10"/>
      <c r="R78" s="13">
        <f>SUM(K78:Q78)</f>
        <v>150</v>
      </c>
      <c r="T78" s="34">
        <f>R78+J78</f>
        <v>450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1710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57</v>
      </c>
      <c r="D80" s="23">
        <v>0</v>
      </c>
      <c r="E80" s="6"/>
      <c r="F80" s="6"/>
      <c r="G80" s="6"/>
      <c r="H80" s="6"/>
      <c r="I80" s="6">
        <v>1</v>
      </c>
      <c r="J80" s="7">
        <f>(D80*D$60)+(E80*E$60)+(F80*F$60)+(G80*G$60)+(H80*H$60)+(I80*I$60)</f>
        <v>-50</v>
      </c>
      <c r="K80" s="5" t="str">
        <f>IF(D80&gt;=100, 250, IF(D80&gt;=50, 150, IF(D80&gt;=30, 50, "")))</f>
        <v/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0</v>
      </c>
      <c r="T80" s="33">
        <f>(R80+J80)*2</f>
        <v>-100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70</v>
      </c>
      <c r="D81" s="20">
        <v>29</v>
      </c>
      <c r="E81" s="1"/>
      <c r="F81" s="1"/>
      <c r="G81" s="1"/>
      <c r="H81" s="1"/>
      <c r="I81" s="1"/>
      <c r="J81" s="19">
        <f>(D81*D$60)+(E81*E$60)+(F81*F$60)+(G81*G$60)+(H81*H$60)+(I81*I$60)</f>
        <v>145</v>
      </c>
      <c r="K81" s="43" t="str">
        <f>IF(D81&gt;=100, 250, IF(D81&gt;=50, 150, IF(D81&gt;=30, 50, "")))</f>
        <v/>
      </c>
      <c r="L81" s="20" t="str">
        <f>IF(E81=5, 200, IF(E81=3, 150, IF(E81=2, 50, "")))</f>
        <v/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0</v>
      </c>
      <c r="T81" s="14">
        <f>R81+J81</f>
        <v>145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59</v>
      </c>
      <c r="D82" s="20">
        <v>17</v>
      </c>
      <c r="E82" s="1"/>
      <c r="F82" s="1"/>
      <c r="G82" s="1"/>
      <c r="H82" s="1">
        <v>1</v>
      </c>
      <c r="I82" s="1"/>
      <c r="J82" s="19">
        <f>(D82*D$60)+(E82*E$60)+(F82*F$60)+(G82*G$60)+(H82*H$60)+(I82*I$60)</f>
        <v>135</v>
      </c>
      <c r="K82" s="43" t="str">
        <f>IF(D82&gt;=100, 250, IF(D82&gt;=50, 150, IF(D82&gt;=30, 50, "")))</f>
        <v/>
      </c>
      <c r="L82" s="20" t="str">
        <f>IF(E82=5, 200, IF(E82=3, 150, IF(E82=2, 50, "")))</f>
        <v/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0</v>
      </c>
      <c r="T82" s="14">
        <f>R82+J82</f>
        <v>135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112</v>
      </c>
      <c r="D83" s="20"/>
      <c r="E83" s="1">
        <v>1</v>
      </c>
      <c r="F83" s="1"/>
      <c r="G83" s="1"/>
      <c r="H83" s="1"/>
      <c r="I83" s="1"/>
      <c r="J83" s="19">
        <f>(D83*D$60)+(E83*E$60)+(F83*F$60)+(G83*G$60)+(H83*H$60)+(I83*I$60)</f>
        <v>100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113</v>
      </c>
      <c r="D84" s="12">
        <v>1</v>
      </c>
      <c r="E84" s="10"/>
      <c r="F84" s="10"/>
      <c r="G84" s="10"/>
      <c r="H84" s="10">
        <v>1</v>
      </c>
      <c r="I84" s="10"/>
      <c r="J84" s="11">
        <f>(D84*D$60)+(E84*E$60)+(F84*F$60)+(G84*G$60)+(H84*H$60)+(I84*I$60)</f>
        <v>55</v>
      </c>
      <c r="K84" s="9" t="str">
        <f>IF(D84&gt;=100, 250, IF(D84&gt;=50, 150, IF(D84&gt;=30, 50, "")))</f>
        <v/>
      </c>
      <c r="L84" s="12" t="str">
        <f>IF(E84=5, 200, IF(E84=3, 150, IF(E84=2, 50, "")))</f>
        <v/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0</v>
      </c>
      <c r="T84" s="34">
        <f>R84+J84</f>
        <v>55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335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AI85"/>
  <sheetViews>
    <sheetView zoomScaleNormal="100" workbookViewId="0">
      <selection activeCell="Y30" sqref="Y30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0" width="8.88671875" style="3"/>
    <col min="31" max="31" width="10.109375" style="3" bestFit="1" customWidth="1"/>
    <col min="32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35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5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5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5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5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5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5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5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5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5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5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5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  <c r="AE28" s="36"/>
      <c r="AF28" s="36" t="s">
        <v>95</v>
      </c>
      <c r="AG28" s="35" t="s">
        <v>96</v>
      </c>
      <c r="AH28" s="35" t="s">
        <v>97</v>
      </c>
      <c r="AI28" s="35" t="s">
        <v>98</v>
      </c>
    </row>
    <row r="29" spans="2:35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1625</v>
      </c>
      <c r="Y29" s="42">
        <f>SUM(Y30:Y37)</f>
        <v>-605</v>
      </c>
      <c r="Z29" s="42">
        <f>SUM(Z30:Z37)</f>
        <v>-855</v>
      </c>
      <c r="AA29" s="42">
        <f>SUM(AA30:AA37)</f>
        <v>-165</v>
      </c>
      <c r="AE29" s="42" t="s">
        <v>165</v>
      </c>
      <c r="AF29" s="42">
        <v>-4745</v>
      </c>
      <c r="AG29" s="42">
        <v>2405</v>
      </c>
      <c r="AH29" s="42">
        <v>10275</v>
      </c>
      <c r="AI29" s="42">
        <v>-7935</v>
      </c>
    </row>
    <row r="30" spans="2:35" x14ac:dyDescent="0.3">
      <c r="B30" s="66" t="s">
        <v>95</v>
      </c>
      <c r="C30" s="38" t="s">
        <v>120</v>
      </c>
      <c r="D30" s="5">
        <v>38</v>
      </c>
      <c r="E30" s="6"/>
      <c r="F30" s="6"/>
      <c r="G30" s="6"/>
      <c r="H30" s="6">
        <v>1</v>
      </c>
      <c r="I30" s="6"/>
      <c r="J30" s="7">
        <f>(D30*D$60)+(E30*E$60)+(F30*F$60)+(G30*G$60)+(H30*H$60)+(I30*I$60)</f>
        <v>240</v>
      </c>
      <c r="K30" s="15">
        <f>IF(D30&gt;=100, 250, IF(D30&gt;=50, 150, IF(D30&gt;=30, 50, "")))</f>
        <v>50</v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50</v>
      </c>
      <c r="T30" s="14">
        <f>(R30+J30)*2</f>
        <v>580</v>
      </c>
      <c r="V30" s="28">
        <v>1</v>
      </c>
      <c r="W30" s="29">
        <v>45745</v>
      </c>
      <c r="X30" s="28">
        <f>-(Y30+Z30+AA30)</f>
        <v>1625</v>
      </c>
      <c r="Y30" s="28">
        <f>T41-T35</f>
        <v>-605</v>
      </c>
      <c r="Z30" s="28">
        <f>T47-T35</f>
        <v>-855</v>
      </c>
      <c r="AA30" s="28">
        <f>T53-T35</f>
        <v>-165</v>
      </c>
    </row>
    <row r="31" spans="2:35" x14ac:dyDescent="0.3">
      <c r="B31" s="67"/>
      <c r="C31" s="4" t="s">
        <v>111</v>
      </c>
      <c r="D31" s="18">
        <v>6</v>
      </c>
      <c r="E31" s="1"/>
      <c r="F31" s="1">
        <v>2</v>
      </c>
      <c r="G31" s="1"/>
      <c r="H31" s="1">
        <v>1</v>
      </c>
      <c r="I31" s="1"/>
      <c r="J31" s="19">
        <f>(D31*D$60)+(E31*E$60)+(F31*F$60)+(G31*G$60)+(H31*H$60)+(I31*I$60)</f>
        <v>180</v>
      </c>
      <c r="K31" s="15" t="str">
        <f>IF(D31&gt;=100, 250, IF(D31&gt;=50, 150, IF(D31&gt;=30, 50, "")))</f>
        <v/>
      </c>
      <c r="L31" s="20" t="str">
        <f t="shared" ref="L31:L52" si="0">IF(E31=5, 200, IF(E31=3, 150, IF(E31=2, 50, "")))</f>
        <v/>
      </c>
      <c r="M31" s="20" t="str">
        <f t="shared" ref="M31:M33" si="1">IF(H31=3,100,IF(H31=5,200,""))</f>
        <v/>
      </c>
      <c r="N31" s="20"/>
      <c r="O31" s="20"/>
      <c r="P31" s="1"/>
      <c r="Q31" s="1"/>
      <c r="R31" s="17">
        <f>SUM(K31:Q31)</f>
        <v>0</v>
      </c>
      <c r="T31" s="14">
        <f>R31+J31</f>
        <v>180</v>
      </c>
      <c r="V31" s="28">
        <v>2</v>
      </c>
      <c r="W31" s="29"/>
      <c r="X31" s="28"/>
      <c r="Y31" s="28"/>
      <c r="Z31" s="28"/>
      <c r="AA31" s="28"/>
    </row>
    <row r="32" spans="2:35" x14ac:dyDescent="0.3">
      <c r="B32" s="67"/>
      <c r="C32" s="4" t="s">
        <v>166</v>
      </c>
      <c r="D32" s="18">
        <v>11</v>
      </c>
      <c r="E32" s="1">
        <v>2</v>
      </c>
      <c r="F32" s="1">
        <v>2</v>
      </c>
      <c r="G32" s="1"/>
      <c r="H32" s="1">
        <v>1</v>
      </c>
      <c r="I32" s="1"/>
      <c r="J32" s="19">
        <f>(D32*D$60)+(E32*E$60)+(F32*F$60)+(G32*G$60)+(H32*H$60)+(I32*I$60)</f>
        <v>405</v>
      </c>
      <c r="K32" s="15" t="str">
        <f>IF(D32&gt;=100, 250, IF(D32&gt;=50, 150, IF(D32&gt;=30, 50, "")))</f>
        <v/>
      </c>
      <c r="L32" s="20">
        <f t="shared" si="0"/>
        <v>50</v>
      </c>
      <c r="M32" s="20" t="str">
        <f t="shared" si="1"/>
        <v/>
      </c>
      <c r="N32" s="20"/>
      <c r="O32" s="20"/>
      <c r="P32" s="1"/>
      <c r="Q32" s="1"/>
      <c r="R32" s="17">
        <f>SUM(K32:Q32)</f>
        <v>50</v>
      </c>
      <c r="T32" s="14">
        <f>R32+J32</f>
        <v>455</v>
      </c>
      <c r="V32" s="28">
        <v>3</v>
      </c>
      <c r="W32" s="29"/>
      <c r="X32" s="28"/>
      <c r="Y32" s="28"/>
      <c r="Z32" s="28"/>
      <c r="AA32" s="28"/>
    </row>
    <row r="33" spans="2:27" x14ac:dyDescent="0.3">
      <c r="B33" s="67"/>
      <c r="C33" s="4" t="s">
        <v>23</v>
      </c>
      <c r="D33" s="18"/>
      <c r="E33" s="1">
        <v>1</v>
      </c>
      <c r="F33" s="1"/>
      <c r="G33" s="1"/>
      <c r="H33" s="1"/>
      <c r="I33" s="1"/>
      <c r="J33" s="19">
        <f>(D33*D$60)+(E33*E$60)+(F33*F$60)+(G33*G$60)+(H33*H$60)+(I33*I$60)</f>
        <v>100</v>
      </c>
      <c r="K33" s="15" t="str">
        <f>IF(D33&gt;=100, 250, IF(D33&gt;=50, 150, IF(D33&gt;=30, 50, "")))</f>
        <v/>
      </c>
      <c r="L33" s="20" t="str">
        <f t="shared" si="0"/>
        <v/>
      </c>
      <c r="M33" s="20" t="str">
        <f t="shared" si="1"/>
        <v/>
      </c>
      <c r="N33" s="20"/>
      <c r="O33" s="20"/>
      <c r="P33" s="1"/>
      <c r="Q33" s="1"/>
      <c r="R33" s="17">
        <f>SUM(K33:Q33)</f>
        <v>0</v>
      </c>
      <c r="T33" s="14">
        <f>R33+J33</f>
        <v>100</v>
      </c>
      <c r="V33" s="28">
        <v>4</v>
      </c>
      <c r="W33" s="29"/>
      <c r="X33" s="28"/>
      <c r="Y33" s="28"/>
      <c r="Z33" s="28"/>
      <c r="AA33" s="28"/>
    </row>
    <row r="34" spans="2:27" ht="15" thickBot="1" x14ac:dyDescent="0.35">
      <c r="B34" s="68"/>
      <c r="C34" s="21" t="s">
        <v>132</v>
      </c>
      <c r="D34" s="9"/>
      <c r="E34" s="10">
        <v>2</v>
      </c>
      <c r="F34" s="10"/>
      <c r="G34" s="10"/>
      <c r="H34" s="10"/>
      <c r="I34" s="10"/>
      <c r="J34" s="11">
        <f>(D34*D$60)+(E34*E$60)+(F34*F$60)+(G34*G$60)+(H34*H$60)+(I34*I$60)</f>
        <v>200</v>
      </c>
      <c r="K34" s="12" t="str">
        <f>IF(D34&gt;=100, 250, IF(D34&gt;=50, 150, IF(D34&gt;=30, 50, "")))</f>
        <v/>
      </c>
      <c r="L34" s="12">
        <f t="shared" si="0"/>
        <v>50</v>
      </c>
      <c r="M34" s="12"/>
      <c r="N34" s="12"/>
      <c r="O34" s="12"/>
      <c r="P34" s="10"/>
      <c r="Q34" s="10"/>
      <c r="R34" s="13">
        <f>SUM(K34:Q34)</f>
        <v>50</v>
      </c>
      <c r="T34" s="22">
        <f>(R34+J34)</f>
        <v>250</v>
      </c>
      <c r="V34" s="28">
        <v>5</v>
      </c>
      <c r="W34" s="29"/>
      <c r="X34" s="28"/>
      <c r="Y34" s="28"/>
      <c r="Z34" s="28"/>
      <c r="AA34" s="28"/>
    </row>
    <row r="35" spans="2:27" ht="15" thickBot="1" x14ac:dyDescent="0.35">
      <c r="T35" s="37">
        <f>SUM(T30:T34)</f>
        <v>1565</v>
      </c>
      <c r="V35" s="28">
        <v>6</v>
      </c>
      <c r="W35" s="29"/>
      <c r="X35" s="28"/>
      <c r="Y35" s="28"/>
      <c r="Z35" s="28"/>
      <c r="AA35" s="28"/>
    </row>
    <row r="36" spans="2:27" x14ac:dyDescent="0.3">
      <c r="B36" s="66" t="s">
        <v>96</v>
      </c>
      <c r="C36" s="39" t="s">
        <v>167</v>
      </c>
      <c r="D36" s="23">
        <v>39</v>
      </c>
      <c r="E36" s="6"/>
      <c r="F36" s="6"/>
      <c r="G36" s="6"/>
      <c r="H36" s="6"/>
      <c r="I36" s="6"/>
      <c r="J36" s="7">
        <f>(D36*D$60)+(E36*E$60)+(F36*F$60)+(G36*G$60)+(H36*H$60)+(I36*I$60)</f>
        <v>195</v>
      </c>
      <c r="K36" s="5">
        <f>IF(D36&gt;=100, 250, IF(D36&gt;=50, 150, IF(D36&gt;=30, 50, "")))</f>
        <v>50</v>
      </c>
      <c r="L36" s="23" t="str">
        <f t="shared" si="0"/>
        <v/>
      </c>
      <c r="M36" s="23"/>
      <c r="N36" s="23"/>
      <c r="O36" s="23"/>
      <c r="P36" s="6"/>
      <c r="Q36" s="6"/>
      <c r="R36" s="24">
        <f>SUM(K36:Q36)</f>
        <v>50</v>
      </c>
      <c r="T36" s="33">
        <f>(R36+J36)*2</f>
        <v>490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55</v>
      </c>
      <c r="D37" s="20">
        <v>39</v>
      </c>
      <c r="E37" s="1"/>
      <c r="F37" s="1"/>
      <c r="G37" s="1"/>
      <c r="H37" s="1">
        <v>1</v>
      </c>
      <c r="I37" s="1"/>
      <c r="J37" s="19">
        <f>(D37*D$60)+(E37*E$60)+(F37*F$60)+(G37*G$60)+(H37*H$60)+(I37*I$60)</f>
        <v>245</v>
      </c>
      <c r="K37" s="43">
        <f>IF(D37&gt;=100, 250, IF(D37&gt;=50, 150, IF(D37&gt;=30, 50, "")))</f>
        <v>50</v>
      </c>
      <c r="L37" s="20" t="str">
        <f t="shared" si="0"/>
        <v/>
      </c>
      <c r="M37" s="20"/>
      <c r="N37" s="20"/>
      <c r="O37" s="20"/>
      <c r="P37" s="1"/>
      <c r="Q37" s="1"/>
      <c r="R37" s="17">
        <f>SUM(K37:Q37)</f>
        <v>50</v>
      </c>
      <c r="T37" s="14">
        <f>R37+J37</f>
        <v>295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135</v>
      </c>
      <c r="D38" s="20">
        <v>6</v>
      </c>
      <c r="E38" s="1"/>
      <c r="F38" s="1"/>
      <c r="G38" s="1"/>
      <c r="H38" s="1"/>
      <c r="I38" s="1"/>
      <c r="J38" s="19">
        <f>(D38*D$60)+(E38*E$60)+(F38*F$60)+(G38*G$60)+(H38*H$60)+(I38*I$60)</f>
        <v>30</v>
      </c>
      <c r="K38" s="43" t="str">
        <f>IF(D38&gt;=100, 250, IF(D38&gt;=50, 150, IF(D38&gt;=30, 50, "")))</f>
        <v/>
      </c>
      <c r="L38" s="20" t="str">
        <f t="shared" si="0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30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168</v>
      </c>
      <c r="D39" s="20"/>
      <c r="E39" s="1">
        <v>1</v>
      </c>
      <c r="F39" s="1"/>
      <c r="G39" s="1"/>
      <c r="H39" s="1"/>
      <c r="I39" s="1"/>
      <c r="J39" s="19">
        <f>(D39*D$60)+(E39*E$60)+(F39*F$60)+(G39*G$60)+(H39*H$60)+(I39*I$60)</f>
        <v>100</v>
      </c>
      <c r="K39" s="43" t="str">
        <f>IF(D39&gt;=100, 250, IF(D39&gt;=50, 150, IF(D39&gt;=30, 50, "")))</f>
        <v/>
      </c>
      <c r="L39" s="20" t="str">
        <f t="shared" si="0"/>
        <v/>
      </c>
      <c r="M39" s="20"/>
      <c r="N39" s="20"/>
      <c r="O39" s="20"/>
      <c r="P39" s="1"/>
      <c r="Q39" s="1"/>
      <c r="R39" s="17">
        <f>SUM(K39:Q39)</f>
        <v>0</v>
      </c>
      <c r="T39" s="14">
        <f>R39+J39</f>
        <v>100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169</v>
      </c>
      <c r="D40" s="12">
        <v>9</v>
      </c>
      <c r="E40" s="10"/>
      <c r="F40" s="10"/>
      <c r="G40" s="10"/>
      <c r="H40" s="10"/>
      <c r="I40" s="10"/>
      <c r="J40" s="11">
        <f>(D40*D$60)+(E40*E$60)+(F40*F$60)+(G40*G$60)+(H40*H$60)+(I40*I$60)</f>
        <v>45</v>
      </c>
      <c r="K40" s="9" t="str">
        <f>IF(D40&gt;=100, 250, IF(D40&gt;=50, 150, IF(D40&gt;=30, 50, "")))</f>
        <v/>
      </c>
      <c r="L40" s="12" t="str">
        <f t="shared" si="0"/>
        <v/>
      </c>
      <c r="M40" s="12"/>
      <c r="N40" s="12"/>
      <c r="O40" s="12"/>
      <c r="P40" s="10"/>
      <c r="Q40" s="10"/>
      <c r="R40" s="13">
        <f>SUM(K40:Q40)</f>
        <v>0</v>
      </c>
      <c r="T40" s="34">
        <f>R40+J40</f>
        <v>45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960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57</v>
      </c>
      <c r="D42" s="23">
        <v>8</v>
      </c>
      <c r="E42" s="6"/>
      <c r="F42" s="6"/>
      <c r="G42" s="6"/>
      <c r="H42" s="6"/>
      <c r="I42" s="6"/>
      <c r="J42" s="7">
        <f>(D42*D$60)+(E42*E$60)+(F42*F$60)+(G42*G$60)+(H42*H$60)+(I42*I$60)</f>
        <v>40</v>
      </c>
      <c r="K42" s="5" t="str">
        <f>IF(D42&gt;=100, 250, IF(D42&gt;=50, 150, IF(D42&gt;=30, 50, "")))</f>
        <v/>
      </c>
      <c r="L42" s="23" t="str">
        <f t="shared" si="0"/>
        <v/>
      </c>
      <c r="M42" s="23"/>
      <c r="N42" s="23"/>
      <c r="O42" s="23"/>
      <c r="P42" s="6"/>
      <c r="Q42" s="6"/>
      <c r="R42" s="24">
        <f>SUM(K42:Q42)</f>
        <v>0</v>
      </c>
      <c r="T42" s="33">
        <f>(R42+J42)*2</f>
        <v>80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70</v>
      </c>
      <c r="D43" s="20">
        <v>48</v>
      </c>
      <c r="E43" s="1"/>
      <c r="F43" s="1"/>
      <c r="G43" s="1"/>
      <c r="H43" s="1"/>
      <c r="I43" s="1"/>
      <c r="J43" s="19">
        <f>(D43*D$60)+(E43*E$60)+(F43*F$60)+(G43*G$60)+(H43*H$60)+(I43*I$60)</f>
        <v>240</v>
      </c>
      <c r="K43" s="43">
        <f>IF(D43&gt;=100, 250, IF(D43&gt;=50, 150, IF(D43&gt;=30, 50, "")))</f>
        <v>50</v>
      </c>
      <c r="L43" s="20" t="str">
        <f t="shared" si="0"/>
        <v/>
      </c>
      <c r="M43" s="20"/>
      <c r="N43" s="20"/>
      <c r="O43" s="20"/>
      <c r="P43" s="1"/>
      <c r="Q43" s="1"/>
      <c r="R43" s="17">
        <f>SUM(K43:Q43)</f>
        <v>50</v>
      </c>
      <c r="T43" s="14">
        <f>R43+J43</f>
        <v>290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51</v>
      </c>
      <c r="D44" s="20"/>
      <c r="E44" s="1">
        <v>1</v>
      </c>
      <c r="F44" s="1"/>
      <c r="G44" s="1"/>
      <c r="H44" s="1"/>
      <c r="I44" s="1"/>
      <c r="J44" s="19">
        <f>(D44*D$60)+(E44*E$60)+(F44*F$60)+(G44*G$60)+(H44*H$60)+(I44*I$60)</f>
        <v>100</v>
      </c>
      <c r="K44" s="43" t="str">
        <f>IF(D44&gt;=100, 250, IF(D44&gt;=50, 150, IF(D44&gt;=30, 50, "")))</f>
        <v/>
      </c>
      <c r="L44" s="20" t="str">
        <f t="shared" si="0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100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88</v>
      </c>
      <c r="D45" s="20">
        <v>18</v>
      </c>
      <c r="E45" s="1"/>
      <c r="F45" s="1"/>
      <c r="G45" s="1"/>
      <c r="H45" s="1">
        <v>1</v>
      </c>
      <c r="I45" s="1"/>
      <c r="J45" s="19">
        <f>(D45*D$60)+(E45*E$60)+(F45*F$60)+(G45*G$60)+(H45*H$60)+(I45*I$60)</f>
        <v>140</v>
      </c>
      <c r="K45" s="43" t="str">
        <f>IF(D45&gt;=100, 250, IF(D45&gt;=50, 150, IF(D45&gt;=30, 50, "")))</f>
        <v/>
      </c>
      <c r="L45" s="20" t="str">
        <f t="shared" si="0"/>
        <v/>
      </c>
      <c r="M45" s="20"/>
      <c r="N45" s="20"/>
      <c r="O45" s="20"/>
      <c r="P45" s="1"/>
      <c r="Q45" s="1"/>
      <c r="R45" s="17">
        <f>SUM(K45:Q45)</f>
        <v>0</v>
      </c>
      <c r="T45" s="14">
        <f>R45+J45</f>
        <v>140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113</v>
      </c>
      <c r="D46" s="12"/>
      <c r="E46" s="10">
        <v>1</v>
      </c>
      <c r="F46" s="10"/>
      <c r="G46" s="10"/>
      <c r="H46" s="10"/>
      <c r="I46" s="10"/>
      <c r="J46" s="11">
        <f>(D46*D$60)+(E46*E$60)+(F46*F$60)+(G46*G$60)+(H46*H$60)+(I46*I$60)</f>
        <v>100</v>
      </c>
      <c r="K46" s="9" t="str">
        <f>IF(D46&gt;=100, 250, IF(D46&gt;=50, 150, IF(D46&gt;=30, 50, "")))</f>
        <v/>
      </c>
      <c r="L46" s="12" t="str">
        <f t="shared" si="0"/>
        <v/>
      </c>
      <c r="M46" s="12"/>
      <c r="N46" s="12"/>
      <c r="O46" s="12"/>
      <c r="P46" s="10"/>
      <c r="Q46" s="10"/>
      <c r="R46" s="13">
        <f>SUM(K46:Q46)</f>
        <v>0</v>
      </c>
      <c r="T46" s="34">
        <f>R46+J46</f>
        <v>100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710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170</v>
      </c>
      <c r="D48" s="23">
        <v>63</v>
      </c>
      <c r="E48" s="6"/>
      <c r="F48" s="6"/>
      <c r="G48" s="6"/>
      <c r="H48" s="6"/>
      <c r="I48" s="6"/>
      <c r="J48" s="7">
        <f>(D48*D$60)+(E48*E$60)+(F48*F$60)+(G48*G$60)+(H48*H$60)+(I48*I$60)</f>
        <v>315</v>
      </c>
      <c r="K48" s="5">
        <f>IF(D48&gt;=100, 250, IF(D48&gt;=50, 150, IF(D48&gt;=30, 50, "")))</f>
        <v>150</v>
      </c>
      <c r="L48" s="23" t="str">
        <f t="shared" si="0"/>
        <v/>
      </c>
      <c r="M48" s="23"/>
      <c r="N48" s="23"/>
      <c r="O48" s="23"/>
      <c r="P48" s="6"/>
      <c r="Q48" s="6"/>
      <c r="R48" s="24">
        <f>SUM(K48:Q48)</f>
        <v>150</v>
      </c>
      <c r="T48" s="33">
        <f>(R48+J48)*2</f>
        <v>930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171</v>
      </c>
      <c r="D49" s="20">
        <v>18</v>
      </c>
      <c r="E49" s="1"/>
      <c r="F49" s="1"/>
      <c r="G49" s="1"/>
      <c r="H49" s="1"/>
      <c r="I49" s="1"/>
      <c r="J49" s="19">
        <f>(D49*D$60)+(E49*E$60)+(F49*F$60)+(G49*G$60)+(H49*H$60)+(I49*I$60)</f>
        <v>90</v>
      </c>
      <c r="K49" s="43" t="str">
        <f>IF(D49&gt;=100, 250, IF(D49&gt;=50, 150, IF(D49&gt;=30, 50, "")))</f>
        <v/>
      </c>
      <c r="L49" s="20" t="str">
        <f t="shared" si="0"/>
        <v/>
      </c>
      <c r="M49" s="20"/>
      <c r="N49" s="20"/>
      <c r="O49" s="20"/>
      <c r="P49" s="1"/>
      <c r="Q49" s="1"/>
      <c r="R49" s="17">
        <f>SUM(K49:Q49)</f>
        <v>0</v>
      </c>
      <c r="T49" s="14">
        <f>R49+J49</f>
        <v>90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122</v>
      </c>
      <c r="D50" s="20">
        <v>7</v>
      </c>
      <c r="E50" s="1">
        <v>1</v>
      </c>
      <c r="F50" s="1"/>
      <c r="G50" s="1"/>
      <c r="H50" s="1"/>
      <c r="I50" s="1"/>
      <c r="J50" s="19">
        <f>(D50*D$60)+(E50*E$60)+(F50*F$60)+(G50*G$60)+(H50*H$60)+(I50*I$60)</f>
        <v>135</v>
      </c>
      <c r="K50" s="43" t="str">
        <f>IF(D50&gt;=100, 250, IF(D50&gt;=50, 150, IF(D50&gt;=30, 50, "")))</f>
        <v/>
      </c>
      <c r="L50" s="20" t="str">
        <f t="shared" si="0"/>
        <v/>
      </c>
      <c r="M50" s="20"/>
      <c r="N50" s="20"/>
      <c r="O50" s="20"/>
      <c r="P50" s="1"/>
      <c r="Q50" s="1"/>
      <c r="R50" s="17">
        <f>SUM(K50:Q50)</f>
        <v>0</v>
      </c>
      <c r="T50" s="14">
        <f>R50+J50</f>
        <v>135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172</v>
      </c>
      <c r="D51" s="20">
        <v>1</v>
      </c>
      <c r="E51" s="1">
        <v>1</v>
      </c>
      <c r="F51" s="1"/>
      <c r="G51" s="1"/>
      <c r="H51" s="1"/>
      <c r="I51" s="1"/>
      <c r="J51" s="19">
        <f>(D51*D$60)+(E51*E$60)+(F51*F$60)+(G51*G$60)+(H51*H$60)+(I51*I$60)</f>
        <v>105</v>
      </c>
      <c r="K51" s="43" t="str">
        <f>IF(D51&gt;=100, 250, IF(D51&gt;=50, 150, IF(D51&gt;=30, 50, "")))</f>
        <v/>
      </c>
      <c r="L51" s="20" t="str">
        <f t="shared" si="0"/>
        <v/>
      </c>
      <c r="M51" s="20"/>
      <c r="N51" s="20"/>
      <c r="O51" s="20"/>
      <c r="P51" s="1"/>
      <c r="Q51" s="1"/>
      <c r="R51" s="17">
        <f>SUM(K51:Q51)</f>
        <v>0</v>
      </c>
      <c r="T51" s="14">
        <f>R51+J51</f>
        <v>105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173</v>
      </c>
      <c r="D52" s="12">
        <v>18</v>
      </c>
      <c r="E52" s="10"/>
      <c r="F52" s="10"/>
      <c r="G52" s="10"/>
      <c r="H52" s="10">
        <v>1</v>
      </c>
      <c r="I52" s="10"/>
      <c r="J52" s="11">
        <f>(D52*D$60)+(E52*E$60)+(F52*F$60)+(G52*G$60)+(H52*H$60)+(I52*I$60)</f>
        <v>140</v>
      </c>
      <c r="K52" s="9" t="str">
        <f>IF(D52&gt;=100, 250, IF(D52&gt;=50, 150, IF(D52&gt;=30, 50, "")))</f>
        <v/>
      </c>
      <c r="L52" s="12" t="str">
        <f t="shared" si="0"/>
        <v/>
      </c>
      <c r="M52" s="12"/>
      <c r="N52" s="12"/>
      <c r="O52" s="12"/>
      <c r="P52" s="10"/>
      <c r="Q52" s="10"/>
      <c r="R52" s="13">
        <f>SUM(K52:Q52)</f>
        <v>0</v>
      </c>
      <c r="T52" s="34">
        <f>R52+J52</f>
        <v>140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1400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SUM(X62:X64)</f>
        <v>1585</v>
      </c>
      <c r="Y61" s="42">
        <f>SUM(Y62:Y64)</f>
        <v>-1420</v>
      </c>
      <c r="Z61" s="42">
        <f>SUM(Z62:Z64)</f>
        <v>3430</v>
      </c>
      <c r="AA61" s="42">
        <f>SUM(AA62:AA64)</f>
        <v>-3595</v>
      </c>
    </row>
    <row r="62" spans="2:27" x14ac:dyDescent="0.3">
      <c r="B62" s="66" t="s">
        <v>95</v>
      </c>
      <c r="C62" s="38" t="s">
        <v>36</v>
      </c>
      <c r="D62" s="5">
        <v>65</v>
      </c>
      <c r="E62" s="6"/>
      <c r="F62" s="6"/>
      <c r="G62" s="6"/>
      <c r="H62" s="6"/>
      <c r="I62" s="6"/>
      <c r="J62" s="7">
        <f>(D62*D$60)+(E62*E$60)+(F62*F$60)+(G62*G$60)+(H62*H$60)+(I62*I$60)</f>
        <v>325</v>
      </c>
      <c r="K62" s="15">
        <f>IF(D62&gt;=100, 250, IF(D62&gt;=50, 150, IF(D62&gt;=30, 50, "")))</f>
        <v>150</v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150</v>
      </c>
      <c r="T62" s="14">
        <f>(R62+J62)*2</f>
        <v>950</v>
      </c>
      <c r="V62" s="28">
        <v>1</v>
      </c>
      <c r="W62" s="29">
        <v>45738</v>
      </c>
      <c r="X62" s="28">
        <v>-875</v>
      </c>
      <c r="Y62" s="28">
        <v>-175</v>
      </c>
      <c r="Z62" s="28">
        <v>2065</v>
      </c>
      <c r="AA62" s="28">
        <v>-1015</v>
      </c>
    </row>
    <row r="63" spans="2:27" x14ac:dyDescent="0.3">
      <c r="B63" s="67"/>
      <c r="C63" s="4" t="s">
        <v>51</v>
      </c>
      <c r="D63" s="18">
        <v>1</v>
      </c>
      <c r="E63" s="1"/>
      <c r="F63" s="1"/>
      <c r="G63" s="1"/>
      <c r="H63" s="1"/>
      <c r="I63" s="1"/>
      <c r="J63" s="19">
        <f>(D63*D$60)+(E63*E$60)+(F63*F$60)+(G63*G$60)+(H63*H$60)+(I63*I$60)</f>
        <v>5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5</v>
      </c>
      <c r="V63" s="28">
        <v>2</v>
      </c>
      <c r="W63" s="29">
        <v>45739</v>
      </c>
      <c r="X63" s="28">
        <v>2810</v>
      </c>
      <c r="Y63" s="28">
        <v>-815</v>
      </c>
      <c r="Z63" s="28">
        <v>-790</v>
      </c>
      <c r="AA63" s="28">
        <v>-1205</v>
      </c>
    </row>
    <row r="64" spans="2:27" x14ac:dyDescent="0.3">
      <c r="B64" s="67"/>
      <c r="C64" s="4" t="s">
        <v>23</v>
      </c>
      <c r="D64" s="18">
        <v>28</v>
      </c>
      <c r="E64" s="1">
        <v>1</v>
      </c>
      <c r="F64" s="1">
        <v>1</v>
      </c>
      <c r="G64" s="1"/>
      <c r="H64" s="1"/>
      <c r="I64" s="1"/>
      <c r="J64" s="19">
        <f>(D64*D$60)+(E64*E$60)+(F64*F$60)+(G64*G$60)+(H64*H$60)+(I64*I$60)</f>
        <v>290</v>
      </c>
      <c r="K64" s="15" t="str">
        <f>IF(D64&gt;=100, 250, IF(D64&gt;=50, 150, IF(D64&gt;=30, 50, "")))</f>
        <v/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/>
      <c r="P64" s="1"/>
      <c r="Q64" s="1"/>
      <c r="R64" s="17">
        <f>SUM(K64:Q64)</f>
        <v>0</v>
      </c>
      <c r="T64" s="14">
        <f>R64+J64</f>
        <v>290</v>
      </c>
      <c r="V64" s="28">
        <v>3</v>
      </c>
      <c r="W64" s="29">
        <v>45739</v>
      </c>
      <c r="X64" s="28">
        <f>T67-T79</f>
        <v>-350</v>
      </c>
      <c r="Y64" s="28">
        <f>T73-T79</f>
        <v>-430</v>
      </c>
      <c r="Z64" s="28">
        <f>-(X64+Y64+AA64)</f>
        <v>2155</v>
      </c>
      <c r="AA64" s="28">
        <f>T85-T79</f>
        <v>-1375</v>
      </c>
    </row>
    <row r="65" spans="2:27" x14ac:dyDescent="0.3">
      <c r="B65" s="67"/>
      <c r="C65" s="4" t="s">
        <v>68</v>
      </c>
      <c r="D65" s="18"/>
      <c r="E65" s="1">
        <v>1</v>
      </c>
      <c r="F65" s="1"/>
      <c r="G65" s="1"/>
      <c r="H65" s="1"/>
      <c r="I65" s="1"/>
      <c r="J65" s="19">
        <f>(D65*D$60)+(E65*E$60)+(F65*F$60)+(G65*G$60)+(H65*H$60)+(I65*I$60)</f>
        <v>100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79</v>
      </c>
      <c r="D66" s="9">
        <v>3</v>
      </c>
      <c r="E66" s="10"/>
      <c r="F66" s="10"/>
      <c r="G66" s="10"/>
      <c r="H66" s="10"/>
      <c r="I66" s="10"/>
      <c r="J66" s="11">
        <f>(D66*D$60)+(E66*E$60)+(F66*F$60)+(G66*G$60)+(H66*H$60)+(I66*I$60)</f>
        <v>15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1360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114</v>
      </c>
      <c r="D68" s="23">
        <v>11</v>
      </c>
      <c r="E68" s="6">
        <v>1</v>
      </c>
      <c r="F68" s="6"/>
      <c r="G68" s="6"/>
      <c r="H68" s="6">
        <v>1</v>
      </c>
      <c r="I68" s="6"/>
      <c r="J68" s="7">
        <f>(D68*D$60)+(E68*E$60)+(F68*F$60)+(G68*G$60)+(H68*H$60)+(I68*I$60)</f>
        <v>205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410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55</v>
      </c>
      <c r="D69" s="20">
        <v>31</v>
      </c>
      <c r="E69" s="1"/>
      <c r="F69" s="1"/>
      <c r="G69" s="1"/>
      <c r="H69" s="1">
        <v>1</v>
      </c>
      <c r="I69" s="1"/>
      <c r="J69" s="19">
        <f>(D69*D$60)+(E69*E$60)+(F69*F$60)+(G69*G$60)+(H69*H$60)+(I69*I$60)</f>
        <v>205</v>
      </c>
      <c r="K69" s="43">
        <f>IF(D69&gt;=100, 250, IF(D69&gt;=50, 150, IF(D69&gt;=30, 50, "")))</f>
        <v>50</v>
      </c>
      <c r="L69" s="20" t="str">
        <f>IF(E69=5, 200, IF(E69=3, 150, IF(E69=2, 50, "")))</f>
        <v/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255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88</v>
      </c>
      <c r="D70" s="20">
        <v>11</v>
      </c>
      <c r="E70" s="1"/>
      <c r="F70" s="1"/>
      <c r="G70" s="1"/>
      <c r="H70" s="1"/>
      <c r="I70" s="1"/>
      <c r="J70" s="19">
        <f>(D70*D$60)+(E70*E$60)+(F70*F$60)+(G70*G$60)+(H70*H$60)+(I70*I$60)</f>
        <v>55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55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26</v>
      </c>
      <c r="D71" s="20"/>
      <c r="E71" s="1">
        <v>4</v>
      </c>
      <c r="F71" s="1"/>
      <c r="G71" s="1"/>
      <c r="H71" s="1"/>
      <c r="I71" s="1"/>
      <c r="J71" s="19">
        <f>(D71*D$60)+(E71*E$60)+(F71*F$60)+(G71*G$60)+(H71*H$60)+(I71*I$60)</f>
        <v>400</v>
      </c>
      <c r="K71" s="43" t="str">
        <f>IF(D71&gt;=100, 250, IF(D71&gt;=50, 150, IF(D71&gt;=30, 50, "")))</f>
        <v/>
      </c>
      <c r="L71" s="20">
        <v>150</v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150</v>
      </c>
      <c r="T71" s="14">
        <f>R71+J71</f>
        <v>550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115</v>
      </c>
      <c r="D72" s="12">
        <v>2</v>
      </c>
      <c r="E72" s="10"/>
      <c r="F72" s="10"/>
      <c r="G72" s="10"/>
      <c r="H72" s="10"/>
      <c r="I72" s="10"/>
      <c r="J72" s="11">
        <f>(D72*D$60)+(E72*E$60)+(F72*F$60)+(G72*G$60)+(H72*H$60)+(I72*I$60)</f>
        <v>10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10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1280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72</v>
      </c>
      <c r="D74" s="23">
        <v>53</v>
      </c>
      <c r="E74" s="6"/>
      <c r="F74" s="6"/>
      <c r="G74" s="6"/>
      <c r="H74" s="6">
        <v>1</v>
      </c>
      <c r="I74" s="6"/>
      <c r="J74" s="7">
        <f>(D74*D$60)+(E74*E$60)+(F74*F$60)+(G74*G$60)+(H74*H$60)+(I74*I$60)</f>
        <v>315</v>
      </c>
      <c r="K74" s="5">
        <f>IF(D74&gt;=100, 250, IF(D74&gt;=50, 150, IF(D74&gt;=30, 50, "")))</f>
        <v>150</v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150</v>
      </c>
      <c r="T74" s="33">
        <f>(R74+J74)*2</f>
        <v>930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111</v>
      </c>
      <c r="D75" s="20">
        <v>13</v>
      </c>
      <c r="E75" s="1"/>
      <c r="F75" s="1">
        <v>1</v>
      </c>
      <c r="G75" s="1"/>
      <c r="H75" s="1">
        <v>1</v>
      </c>
      <c r="I75" s="1"/>
      <c r="J75" s="19">
        <f>(D75*D$60)+(E75*E$60)+(F75*F$60)+(G75*G$60)+(H75*H$60)+(I75*I$60)</f>
        <v>165</v>
      </c>
      <c r="K75" s="43" t="str">
        <f>IF(D75&gt;=100, 250, IF(D75&gt;=50, 150, IF(D75&gt;=30, 50, "")))</f>
        <v/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0</v>
      </c>
      <c r="T75" s="14">
        <f>R75+J75</f>
        <v>165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66</v>
      </c>
      <c r="D76" s="20">
        <v>9</v>
      </c>
      <c r="E76" s="1"/>
      <c r="F76" s="1"/>
      <c r="G76" s="1"/>
      <c r="H76" s="1">
        <v>2</v>
      </c>
      <c r="I76" s="1"/>
      <c r="J76" s="19">
        <f>(D76*D$60)+(E76*E$60)+(F76*F$60)+(G76*G$60)+(H76*H$60)+(I76*I$60)</f>
        <v>145</v>
      </c>
      <c r="K76" s="43" t="str">
        <f>IF(D76&gt;=100, 250, IF(D76&gt;=50, 150, IF(D76&gt;=30, 50, "")))</f>
        <v/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0</v>
      </c>
      <c r="T76" s="14">
        <f>R76+J76</f>
        <v>145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42</v>
      </c>
      <c r="D77" s="20">
        <v>4</v>
      </c>
      <c r="E77" s="1"/>
      <c r="F77" s="1"/>
      <c r="G77" s="1"/>
      <c r="H77" s="1"/>
      <c r="I77" s="1"/>
      <c r="J77" s="19">
        <f>(D77*D$60)+(E77*E$60)+(F77*F$60)+(G77*G$60)+(H77*H$60)+(I77*I$60)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77</v>
      </c>
      <c r="D78" s="12"/>
      <c r="E78" s="10">
        <v>3</v>
      </c>
      <c r="F78" s="10"/>
      <c r="G78" s="10"/>
      <c r="H78" s="10"/>
      <c r="I78" s="10"/>
      <c r="J78" s="11">
        <f>(D78*D$60)+(E78*E$60)+(F78*F$60)+(G78*G$60)+(H78*H$60)+(I78*I$60)</f>
        <v>300</v>
      </c>
      <c r="K78" s="9" t="str">
        <f>IF(D78&gt;=100, 250, IF(D78&gt;=50, 150, IF(D78&gt;=30, 50, "")))</f>
        <v/>
      </c>
      <c r="L78" s="12">
        <f>IF(E78=5, 200, IF(E78=3, 150, IF(E78=2, 50, "")))</f>
        <v>150</v>
      </c>
      <c r="M78" s="12" t="str">
        <f>IF(H78=3,100,IF(H78=5,200,""))</f>
        <v/>
      </c>
      <c r="N78" s="12"/>
      <c r="O78" s="12"/>
      <c r="P78" s="10"/>
      <c r="Q78" s="10"/>
      <c r="R78" s="13">
        <f>SUM(K78:Q78)</f>
        <v>150</v>
      </c>
      <c r="T78" s="34">
        <f>R78+J78</f>
        <v>450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1710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57</v>
      </c>
      <c r="D80" s="23">
        <v>0</v>
      </c>
      <c r="E80" s="6"/>
      <c r="F80" s="6"/>
      <c r="G80" s="6"/>
      <c r="H80" s="6"/>
      <c r="I80" s="6">
        <v>1</v>
      </c>
      <c r="J80" s="7">
        <f>(D80*D$60)+(E80*E$60)+(F80*F$60)+(G80*G$60)+(H80*H$60)+(I80*I$60)</f>
        <v>-50</v>
      </c>
      <c r="K80" s="5" t="str">
        <f>IF(D80&gt;=100, 250, IF(D80&gt;=50, 150, IF(D80&gt;=30, 50, "")))</f>
        <v/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0</v>
      </c>
      <c r="T80" s="33">
        <f>(R80+J80)*2</f>
        <v>-100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70</v>
      </c>
      <c r="D81" s="20">
        <v>29</v>
      </c>
      <c r="E81" s="1"/>
      <c r="F81" s="1"/>
      <c r="G81" s="1"/>
      <c r="H81" s="1"/>
      <c r="I81" s="1"/>
      <c r="J81" s="19">
        <f>(D81*D$60)+(E81*E$60)+(F81*F$60)+(G81*G$60)+(H81*H$60)+(I81*I$60)</f>
        <v>145</v>
      </c>
      <c r="K81" s="43" t="str">
        <f>IF(D81&gt;=100, 250, IF(D81&gt;=50, 150, IF(D81&gt;=30, 50, "")))</f>
        <v/>
      </c>
      <c r="L81" s="20" t="str">
        <f>IF(E81=5, 200, IF(E81=3, 150, IF(E81=2, 50, "")))</f>
        <v/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0</v>
      </c>
      <c r="T81" s="14">
        <f>R81+J81</f>
        <v>145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59</v>
      </c>
      <c r="D82" s="20">
        <v>17</v>
      </c>
      <c r="E82" s="1"/>
      <c r="F82" s="1"/>
      <c r="G82" s="1"/>
      <c r="H82" s="1">
        <v>1</v>
      </c>
      <c r="I82" s="1"/>
      <c r="J82" s="19">
        <f>(D82*D$60)+(E82*E$60)+(F82*F$60)+(G82*G$60)+(H82*H$60)+(I82*I$60)</f>
        <v>135</v>
      </c>
      <c r="K82" s="43" t="str">
        <f>IF(D82&gt;=100, 250, IF(D82&gt;=50, 150, IF(D82&gt;=30, 50, "")))</f>
        <v/>
      </c>
      <c r="L82" s="20" t="str">
        <f>IF(E82=5, 200, IF(E82=3, 150, IF(E82=2, 50, "")))</f>
        <v/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0</v>
      </c>
      <c r="T82" s="14">
        <f>R82+J82</f>
        <v>135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112</v>
      </c>
      <c r="D83" s="20"/>
      <c r="E83" s="1">
        <v>1</v>
      </c>
      <c r="F83" s="1"/>
      <c r="G83" s="1"/>
      <c r="H83" s="1"/>
      <c r="I83" s="1"/>
      <c r="J83" s="19">
        <f>(D83*D$60)+(E83*E$60)+(F83*F$60)+(G83*G$60)+(H83*H$60)+(I83*I$60)</f>
        <v>100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113</v>
      </c>
      <c r="D84" s="12">
        <v>1</v>
      </c>
      <c r="E84" s="10"/>
      <c r="F84" s="10"/>
      <c r="G84" s="10"/>
      <c r="H84" s="10">
        <v>1</v>
      </c>
      <c r="I84" s="10"/>
      <c r="J84" s="11">
        <f>(D84*D$60)+(E84*E$60)+(F84*F$60)+(G84*G$60)+(H84*H$60)+(I84*I$60)</f>
        <v>55</v>
      </c>
      <c r="K84" s="9" t="str">
        <f>IF(D84&gt;=100, 250, IF(D84&gt;=50, 150, IF(D84&gt;=30, 50, "")))</f>
        <v/>
      </c>
      <c r="L84" s="12" t="str">
        <f>IF(E84=5, 200, IF(E84=3, 150, IF(E84=2, 50, "")))</f>
        <v/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0</v>
      </c>
      <c r="T84" s="34">
        <f>R84+J84</f>
        <v>55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335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AI85"/>
  <sheetViews>
    <sheetView zoomScaleNormal="100" workbookViewId="0">
      <selection activeCell="AA2" sqref="AA2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0" width="8.88671875" style="3"/>
    <col min="31" max="31" width="10.109375" style="3" bestFit="1" customWidth="1"/>
    <col min="32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35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5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5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5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5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5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5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5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5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5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5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5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  <c r="AE28" s="36"/>
      <c r="AF28" s="36" t="s">
        <v>95</v>
      </c>
      <c r="AG28" s="35" t="s">
        <v>96</v>
      </c>
      <c r="AH28" s="35" t="s">
        <v>97</v>
      </c>
      <c r="AI28" s="35" t="s">
        <v>98</v>
      </c>
    </row>
    <row r="29" spans="2:35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855</v>
      </c>
      <c r="Y29" s="42">
        <f>SUM(Y30:Y37)</f>
        <v>-1510</v>
      </c>
      <c r="Z29" s="42">
        <f>SUM(Z30:Z37)</f>
        <v>-2120</v>
      </c>
      <c r="AA29" s="42">
        <f>SUM(AA30:AA37)</f>
        <v>2775</v>
      </c>
      <c r="AE29" s="42" t="s">
        <v>165</v>
      </c>
      <c r="AF29" s="42">
        <v>-4745</v>
      </c>
      <c r="AG29" s="42">
        <v>2405</v>
      </c>
      <c r="AH29" s="42">
        <v>10275</v>
      </c>
      <c r="AI29" s="42">
        <v>-7935</v>
      </c>
    </row>
    <row r="30" spans="2:35" x14ac:dyDescent="0.3">
      <c r="B30" s="66" t="s">
        <v>95</v>
      </c>
      <c r="C30" s="38" t="s">
        <v>20</v>
      </c>
      <c r="D30" s="5">
        <v>50</v>
      </c>
      <c r="E30" s="6"/>
      <c r="F30" s="6"/>
      <c r="G30" s="6"/>
      <c r="H30" s="6">
        <v>2</v>
      </c>
      <c r="I30" s="6"/>
      <c r="J30" s="7">
        <f>(D30*D$60)+(E30*E$60)+(F30*F$60)+(G30*G$60)+(H30*H$60)+(I30*I$60)</f>
        <v>350</v>
      </c>
      <c r="K30" s="15">
        <f>IF(D30&gt;=100, 250, IF(D30&gt;=50, 150, IF(D30&gt;=30, 50, "")))</f>
        <v>150</v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150</v>
      </c>
      <c r="T30" s="14">
        <f>(R30+J30)*2</f>
        <v>1000</v>
      </c>
      <c r="V30" s="28">
        <v>1</v>
      </c>
      <c r="W30" s="29">
        <v>45745</v>
      </c>
      <c r="X30" s="28">
        <v>1625</v>
      </c>
      <c r="Y30" s="28">
        <v>-605</v>
      </c>
      <c r="Z30" s="28">
        <v>-855</v>
      </c>
      <c r="AA30" s="28">
        <v>-165</v>
      </c>
    </row>
    <row r="31" spans="2:35" x14ac:dyDescent="0.3">
      <c r="B31" s="67"/>
      <c r="C31" s="4" t="s">
        <v>105</v>
      </c>
      <c r="D31" s="18">
        <v>0</v>
      </c>
      <c r="E31" s="1"/>
      <c r="F31" s="1"/>
      <c r="G31" s="1"/>
      <c r="H31" s="1"/>
      <c r="I31" s="1">
        <v>1</v>
      </c>
      <c r="J31" s="19">
        <f>(D31*D$60)+(E31*E$60)+(F31*F$60)+(G31*G$60)+(H31*H$60)+(I31*I$60)</f>
        <v>-50</v>
      </c>
      <c r="K31" s="15" t="str">
        <f>IF(D31&gt;=100, 250, IF(D31&gt;=50, 150, IF(D31&gt;=30, 50, "")))</f>
        <v/>
      </c>
      <c r="L31" s="20" t="str">
        <f t="shared" ref="L31:L52" si="0">IF(E31=5, 200, IF(E31=3, 150, IF(E31=2, 50, "")))</f>
        <v/>
      </c>
      <c r="M31" s="20" t="str">
        <f t="shared" ref="M31:M33" si="1">IF(H31=3,100,IF(H31=5,200,""))</f>
        <v/>
      </c>
      <c r="N31" s="20"/>
      <c r="O31" s="20"/>
      <c r="P31" s="1"/>
      <c r="Q31" s="1"/>
      <c r="R31" s="17">
        <f>SUM(K31:Q31)</f>
        <v>0</v>
      </c>
      <c r="T31" s="14">
        <f>R31+J31</f>
        <v>-50</v>
      </c>
      <c r="V31" s="28">
        <v>2</v>
      </c>
      <c r="W31" s="44">
        <v>45746</v>
      </c>
      <c r="X31" s="45">
        <v>-770</v>
      </c>
      <c r="Y31" s="45">
        <v>-905</v>
      </c>
      <c r="Z31" s="45">
        <v>-1265</v>
      </c>
      <c r="AA31" s="45">
        <v>2940</v>
      </c>
    </row>
    <row r="32" spans="2:35" x14ac:dyDescent="0.3">
      <c r="B32" s="67"/>
      <c r="C32" s="4" t="s">
        <v>48</v>
      </c>
      <c r="D32" s="18">
        <v>2</v>
      </c>
      <c r="E32" s="1"/>
      <c r="F32" s="1"/>
      <c r="G32" s="1"/>
      <c r="H32" s="1"/>
      <c r="I32" s="1"/>
      <c r="J32" s="19">
        <f>(D32*D$60)+(E32*E$60)+(F32*F$60)+(G32*G$60)+(H32*H$60)+(I32*I$60)</f>
        <v>10</v>
      </c>
      <c r="K32" s="15" t="str">
        <f>IF(D32&gt;=100, 250, IF(D32&gt;=50, 150, IF(D32&gt;=30, 50, "")))</f>
        <v/>
      </c>
      <c r="L32" s="20" t="str">
        <f t="shared" si="0"/>
        <v/>
      </c>
      <c r="M32" s="20" t="str">
        <f t="shared" si="1"/>
        <v/>
      </c>
      <c r="N32" s="20"/>
      <c r="O32" s="20"/>
      <c r="P32" s="1"/>
      <c r="Q32" s="1"/>
      <c r="R32" s="17">
        <f>SUM(K32:Q32)</f>
        <v>0</v>
      </c>
      <c r="T32" s="14">
        <f>R32+J32</f>
        <v>10</v>
      </c>
      <c r="V32" s="28">
        <v>3</v>
      </c>
      <c r="W32" s="29"/>
      <c r="X32" s="28"/>
      <c r="Y32" s="28"/>
      <c r="Z32" s="28"/>
      <c r="AA32" s="28"/>
    </row>
    <row r="33" spans="2:27" x14ac:dyDescent="0.3">
      <c r="B33" s="67"/>
      <c r="C33" s="4" t="s">
        <v>45</v>
      </c>
      <c r="D33" s="18">
        <v>21</v>
      </c>
      <c r="E33" s="1"/>
      <c r="F33" s="1"/>
      <c r="G33" s="1"/>
      <c r="H33" s="1">
        <v>1</v>
      </c>
      <c r="I33" s="1"/>
      <c r="J33" s="19">
        <f>(D33*D$60)+(E33*E$60)+(F33*F$60)+(G33*G$60)+(H33*H$60)+(I33*I$60)</f>
        <v>155</v>
      </c>
      <c r="K33" s="15" t="str">
        <f>IF(D33&gt;=100, 250, IF(D33&gt;=50, 150, IF(D33&gt;=30, 50, "")))</f>
        <v/>
      </c>
      <c r="L33" s="20" t="str">
        <f t="shared" si="0"/>
        <v/>
      </c>
      <c r="M33" s="20" t="str">
        <f t="shared" si="1"/>
        <v/>
      </c>
      <c r="N33" s="20"/>
      <c r="O33" s="20"/>
      <c r="P33" s="1"/>
      <c r="Q33" s="1"/>
      <c r="R33" s="17">
        <f>SUM(K33:Q33)</f>
        <v>0</v>
      </c>
      <c r="T33" s="14">
        <f>R33+J33</f>
        <v>155</v>
      </c>
      <c r="V33" s="28">
        <v>4</v>
      </c>
      <c r="W33" s="29"/>
      <c r="X33" s="28"/>
      <c r="Y33" s="28"/>
      <c r="Z33" s="28"/>
      <c r="AA33" s="28"/>
    </row>
    <row r="34" spans="2:27" ht="15" thickBot="1" x14ac:dyDescent="0.35">
      <c r="B34" s="68"/>
      <c r="C34" s="21" t="s">
        <v>174</v>
      </c>
      <c r="D34" s="9"/>
      <c r="E34" s="10"/>
      <c r="F34" s="10"/>
      <c r="G34" s="10"/>
      <c r="H34" s="10"/>
      <c r="I34" s="10"/>
      <c r="J34" s="11">
        <f>(D34*D$60)+(E34*E$60)+(F34*F$60)+(G34*G$60)+(H34*H$60)+(I34*I$60)</f>
        <v>0</v>
      </c>
      <c r="K34" s="12" t="str">
        <f>IF(D34&gt;=100, 250, IF(D34&gt;=50, 150, IF(D34&gt;=30, 50, "")))</f>
        <v/>
      </c>
      <c r="L34" s="12" t="str">
        <f t="shared" si="0"/>
        <v/>
      </c>
      <c r="M34" s="12"/>
      <c r="N34" s="12"/>
      <c r="O34" s="12"/>
      <c r="P34" s="10"/>
      <c r="Q34" s="10"/>
      <c r="R34" s="13">
        <f>SUM(K34:Q34)</f>
        <v>0</v>
      </c>
      <c r="T34" s="22">
        <f>(R34+J34)</f>
        <v>0</v>
      </c>
      <c r="V34" s="28">
        <v>5</v>
      </c>
      <c r="W34" s="29"/>
      <c r="X34" s="28"/>
      <c r="Y34" s="28"/>
      <c r="Z34" s="28"/>
      <c r="AA34" s="28"/>
    </row>
    <row r="35" spans="2:27" ht="15" thickBot="1" x14ac:dyDescent="0.35">
      <c r="T35" s="37">
        <f>SUM(T30:T34)</f>
        <v>1115</v>
      </c>
      <c r="V35" s="28">
        <v>6</v>
      </c>
      <c r="W35" s="29"/>
      <c r="X35" s="28"/>
      <c r="Y35" s="28"/>
      <c r="Z35" s="28"/>
      <c r="AA35" s="28"/>
    </row>
    <row r="36" spans="2:27" x14ac:dyDescent="0.3">
      <c r="B36" s="66" t="s">
        <v>96</v>
      </c>
      <c r="C36" s="39" t="s">
        <v>60</v>
      </c>
      <c r="D36" s="23">
        <v>22</v>
      </c>
      <c r="E36" s="6"/>
      <c r="F36" s="6"/>
      <c r="G36" s="6"/>
      <c r="H36" s="6"/>
      <c r="I36" s="6"/>
      <c r="J36" s="7">
        <f>(D36*D$60)+(E36*E$60)+(F36*F$60)+(G36*G$60)+(H36*H$60)+(I36*I$60)</f>
        <v>110</v>
      </c>
      <c r="K36" s="5" t="str">
        <f>IF(D36&gt;=100, 250, IF(D36&gt;=50, 150, IF(D36&gt;=30, 50, "")))</f>
        <v/>
      </c>
      <c r="L36" s="23" t="str">
        <f t="shared" si="0"/>
        <v/>
      </c>
      <c r="M36" s="23"/>
      <c r="N36" s="23"/>
      <c r="O36" s="23"/>
      <c r="P36" s="6"/>
      <c r="Q36" s="6"/>
      <c r="R36" s="24">
        <f>SUM(K36:Q36)</f>
        <v>0</v>
      </c>
      <c r="T36" s="33">
        <f>(R36+J36)*2</f>
        <v>220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81</v>
      </c>
      <c r="D37" s="20">
        <v>38</v>
      </c>
      <c r="E37" s="1"/>
      <c r="F37" s="1"/>
      <c r="G37" s="1"/>
      <c r="H37" s="1">
        <v>2</v>
      </c>
      <c r="I37" s="1"/>
      <c r="J37" s="19">
        <f>(D37*D$60)+(E37*E$60)+(F37*F$60)+(G37*G$60)+(H37*H$60)+(I37*I$60)</f>
        <v>290</v>
      </c>
      <c r="K37" s="43">
        <f>IF(D37&gt;=100, 250, IF(D37&gt;=50, 150, IF(D37&gt;=30, 50, "")))</f>
        <v>50</v>
      </c>
      <c r="L37" s="20" t="str">
        <f t="shared" si="0"/>
        <v/>
      </c>
      <c r="M37" s="20"/>
      <c r="N37" s="20"/>
      <c r="O37" s="20"/>
      <c r="P37" s="1"/>
      <c r="Q37" s="1"/>
      <c r="R37" s="17">
        <f>SUM(K37:Q37)</f>
        <v>50</v>
      </c>
      <c r="T37" s="14">
        <f>R37+J37</f>
        <v>340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44</v>
      </c>
      <c r="D38" s="20"/>
      <c r="E38" s="1"/>
      <c r="F38" s="1"/>
      <c r="G38" s="1"/>
      <c r="H38" s="1">
        <v>2</v>
      </c>
      <c r="I38" s="1"/>
      <c r="J38" s="19">
        <f>(D38*D$60)+(E38*E$60)+(F38*F$60)+(G38*G$60)+(H38*H$60)+(I38*I$60)</f>
        <v>100</v>
      </c>
      <c r="K38" s="43" t="str">
        <f>IF(D38&gt;=100, 250, IF(D38&gt;=50, 150, IF(D38&gt;=30, 50, "")))</f>
        <v/>
      </c>
      <c r="L38" s="20" t="str">
        <f t="shared" si="0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100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71</v>
      </c>
      <c r="D39" s="20">
        <v>34</v>
      </c>
      <c r="E39" s="1"/>
      <c r="F39" s="1"/>
      <c r="G39" s="1"/>
      <c r="H39" s="1"/>
      <c r="I39" s="1"/>
      <c r="J39" s="19">
        <f>(D39*D$60)+(E39*E$60)+(F39*F$60)+(G39*G$60)+(H39*H$60)+(I39*I$60)</f>
        <v>170</v>
      </c>
      <c r="K39" s="43">
        <f>IF(D39&gt;=100, 250, IF(D39&gt;=50, 150, IF(D39&gt;=30, 50, "")))</f>
        <v>50</v>
      </c>
      <c r="L39" s="20" t="str">
        <f t="shared" si="0"/>
        <v/>
      </c>
      <c r="M39" s="20"/>
      <c r="N39" s="20"/>
      <c r="O39" s="20"/>
      <c r="P39" s="1"/>
      <c r="Q39" s="1"/>
      <c r="R39" s="17">
        <f>SUM(K39:Q39)</f>
        <v>50</v>
      </c>
      <c r="T39" s="14">
        <f>R39+J39</f>
        <v>220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58</v>
      </c>
      <c r="D40" s="12"/>
      <c r="E40" s="10">
        <v>1</v>
      </c>
      <c r="F40" s="10"/>
      <c r="G40" s="10"/>
      <c r="H40" s="10"/>
      <c r="I40" s="10"/>
      <c r="J40" s="11">
        <f>(D40*D$60)+(E40*E$60)+(F40*F$60)+(G40*G$60)+(H40*H$60)+(I40*I$60)</f>
        <v>100</v>
      </c>
      <c r="K40" s="9" t="str">
        <f>IF(D40&gt;=100, 250, IF(D40&gt;=50, 150, IF(D40&gt;=30, 50, "")))</f>
        <v/>
      </c>
      <c r="L40" s="12" t="str">
        <f t="shared" si="0"/>
        <v/>
      </c>
      <c r="M40" s="12"/>
      <c r="N40" s="12"/>
      <c r="O40" s="12"/>
      <c r="P40" s="10"/>
      <c r="Q40" s="10"/>
      <c r="R40" s="13">
        <f>SUM(K40:Q40)</f>
        <v>0</v>
      </c>
      <c r="T40" s="34">
        <f>R40+J40</f>
        <v>100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980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147</v>
      </c>
      <c r="D42" s="23">
        <v>1</v>
      </c>
      <c r="E42" s="6"/>
      <c r="F42" s="6"/>
      <c r="G42" s="6"/>
      <c r="H42" s="6"/>
      <c r="I42" s="6"/>
      <c r="J42" s="7">
        <f>(D42*D$60)+(E42*E$60)+(F42*F$60)+(G42*G$60)+(H42*H$60)+(I42*I$60)</f>
        <v>5</v>
      </c>
      <c r="K42" s="5" t="str">
        <f>IF(D42&gt;=100, 250, IF(D42&gt;=50, 150, IF(D42&gt;=30, 50, "")))</f>
        <v/>
      </c>
      <c r="L42" s="23" t="str">
        <f t="shared" si="0"/>
        <v/>
      </c>
      <c r="M42" s="23"/>
      <c r="N42" s="23"/>
      <c r="O42" s="23"/>
      <c r="P42" s="6"/>
      <c r="Q42" s="6"/>
      <c r="R42" s="24">
        <f>SUM(K42:Q42)</f>
        <v>0</v>
      </c>
      <c r="T42" s="33">
        <f>(R42+J42)*2</f>
        <v>10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56</v>
      </c>
      <c r="D43" s="20">
        <v>2</v>
      </c>
      <c r="E43" s="1"/>
      <c r="F43" s="1"/>
      <c r="G43" s="1"/>
      <c r="H43" s="1"/>
      <c r="I43" s="1"/>
      <c r="J43" s="19">
        <f>(D43*D$60)+(E43*E$60)+(F43*F$60)+(G43*G$60)+(H43*H$60)+(I43*I$60)</f>
        <v>10</v>
      </c>
      <c r="K43" s="43" t="str">
        <f>IF(D43&gt;=100, 250, IF(D43&gt;=50, 150, IF(D43&gt;=30, 50, "")))</f>
        <v/>
      </c>
      <c r="L43" s="20" t="str">
        <f t="shared" si="0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10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41</v>
      </c>
      <c r="D44" s="20"/>
      <c r="E44" s="1">
        <v>3</v>
      </c>
      <c r="F44" s="1"/>
      <c r="G44" s="1"/>
      <c r="H44" s="1"/>
      <c r="I44" s="1"/>
      <c r="J44" s="19">
        <f>(D44*D$60)+(E44*E$60)+(F44*F$60)+(G44*G$60)+(H44*H$60)+(I44*I$60)</f>
        <v>300</v>
      </c>
      <c r="K44" s="43" t="str">
        <f>IF(D44&gt;=100, 250, IF(D44&gt;=50, 150, IF(D44&gt;=30, 50, "")))</f>
        <v/>
      </c>
      <c r="L44" s="20">
        <f t="shared" si="0"/>
        <v>150</v>
      </c>
      <c r="M44" s="20"/>
      <c r="N44" s="20"/>
      <c r="O44" s="20"/>
      <c r="P44" s="1"/>
      <c r="Q44" s="1"/>
      <c r="R44" s="17">
        <f>SUM(K44:Q44)</f>
        <v>150</v>
      </c>
      <c r="T44" s="14">
        <f>R44+J44</f>
        <v>450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175</v>
      </c>
      <c r="D45" s="20"/>
      <c r="E45" s="1"/>
      <c r="F45" s="1">
        <v>2</v>
      </c>
      <c r="G45" s="1"/>
      <c r="H45" s="1">
        <v>1</v>
      </c>
      <c r="I45" s="1"/>
      <c r="J45" s="19">
        <f>(D45*D$60)+(E45*E$60)+(F45*F$60)+(G45*G$60)+(H45*H$60)+(I45*I$60)</f>
        <v>150</v>
      </c>
      <c r="K45" s="43" t="str">
        <f>IF(D45&gt;=100, 250, IF(D45&gt;=50, 150, IF(D45&gt;=30, 50, "")))</f>
        <v/>
      </c>
      <c r="L45" s="20" t="str">
        <f t="shared" si="0"/>
        <v/>
      </c>
      <c r="M45" s="20"/>
      <c r="N45" s="20"/>
      <c r="O45" s="20"/>
      <c r="P45" s="1"/>
      <c r="Q45" s="1"/>
      <c r="R45" s="17">
        <f>SUM(K45:Q45)</f>
        <v>0</v>
      </c>
      <c r="T45" s="14">
        <f>R45+J45</f>
        <v>150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154</v>
      </c>
      <c r="D46" s="12"/>
      <c r="E46" s="10"/>
      <c r="F46" s="10"/>
      <c r="G46" s="10"/>
      <c r="H46" s="10"/>
      <c r="I46" s="10"/>
      <c r="J46" s="11">
        <f>(D46*D$60)+(E46*E$60)+(F46*F$60)+(G46*G$60)+(H46*H$60)+(I46*I$60)</f>
        <v>0</v>
      </c>
      <c r="K46" s="9" t="str">
        <f>IF(D46&gt;=100, 250, IF(D46&gt;=50, 150, IF(D46&gt;=30, 50, "")))</f>
        <v/>
      </c>
      <c r="L46" s="12" t="str">
        <f t="shared" si="0"/>
        <v/>
      </c>
      <c r="M46" s="12"/>
      <c r="N46" s="12"/>
      <c r="O46" s="12"/>
      <c r="P46" s="10"/>
      <c r="Q46" s="10"/>
      <c r="R46" s="13">
        <f>SUM(K46:Q46)</f>
        <v>0</v>
      </c>
      <c r="T46" s="34">
        <f>R46+J46</f>
        <v>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620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176</v>
      </c>
      <c r="D48" s="23">
        <v>15</v>
      </c>
      <c r="E48" s="6"/>
      <c r="F48" s="6"/>
      <c r="G48" s="6"/>
      <c r="H48" s="6">
        <v>1</v>
      </c>
      <c r="I48" s="6"/>
      <c r="J48" s="7">
        <f>(D48*D$60)+(E48*E$60)+(F48*F$60)+(G48*G$60)+(H48*H$60)+(I48*I$60)</f>
        <v>125</v>
      </c>
      <c r="K48" s="5" t="str">
        <f>IF(D48&gt;=100, 250, IF(D48&gt;=50, 150, IF(D48&gt;=30, 50, "")))</f>
        <v/>
      </c>
      <c r="L48" s="23" t="str">
        <f t="shared" si="0"/>
        <v/>
      </c>
      <c r="M48" s="23"/>
      <c r="N48" s="23"/>
      <c r="O48" s="23"/>
      <c r="P48" s="6"/>
      <c r="Q48" s="6"/>
      <c r="R48" s="24">
        <f>SUM(K48:Q48)</f>
        <v>0</v>
      </c>
      <c r="T48" s="33">
        <f>(R48+J48)*2</f>
        <v>250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177</v>
      </c>
      <c r="D49" s="20">
        <v>32</v>
      </c>
      <c r="E49" s="1"/>
      <c r="F49" s="1"/>
      <c r="G49" s="1"/>
      <c r="H49" s="1"/>
      <c r="I49" s="1"/>
      <c r="J49" s="19">
        <f>(D49*D$60)+(E49*E$60)+(F49*F$60)+(G49*G$60)+(H49*H$60)+(I49*I$60)</f>
        <v>160</v>
      </c>
      <c r="K49" s="43">
        <f>IF(D49&gt;=100, 250, IF(D49&gt;=50, 150, IF(D49&gt;=30, 50, "")))</f>
        <v>50</v>
      </c>
      <c r="L49" s="20" t="str">
        <f t="shared" si="0"/>
        <v/>
      </c>
      <c r="M49" s="20"/>
      <c r="N49" s="20"/>
      <c r="O49" s="20"/>
      <c r="P49" s="1"/>
      <c r="Q49" s="1"/>
      <c r="R49" s="17">
        <f>SUM(K49:Q49)</f>
        <v>50</v>
      </c>
      <c r="T49" s="14">
        <f>R49+J49</f>
        <v>210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47</v>
      </c>
      <c r="D50" s="20"/>
      <c r="E50" s="1">
        <v>5</v>
      </c>
      <c r="F50" s="1"/>
      <c r="G50" s="1"/>
      <c r="H50" s="1"/>
      <c r="I50" s="1"/>
      <c r="J50" s="19">
        <f>(D50*D$60)+(E50*E$60)+(F50*F$60)+(G50*G$60)+(H50*H$60)+(I50*I$60)</f>
        <v>500</v>
      </c>
      <c r="K50" s="43" t="str">
        <f>IF(D50&gt;=100, 250, IF(D50&gt;=50, 150, IF(D50&gt;=30, 50, "")))</f>
        <v/>
      </c>
      <c r="L50" s="20">
        <f>IF(E50=5, 250, IF(E50=3, 150, IF(E50=2, 50, "")))</f>
        <v>250</v>
      </c>
      <c r="M50" s="20"/>
      <c r="N50" s="20"/>
      <c r="O50" s="20"/>
      <c r="P50" s="1"/>
      <c r="Q50" s="1"/>
      <c r="R50" s="17">
        <f>SUM(K50:Q50)</f>
        <v>250</v>
      </c>
      <c r="T50" s="14">
        <f>R50+J50</f>
        <v>750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3</v>
      </c>
      <c r="D51" s="20">
        <v>1</v>
      </c>
      <c r="E51" s="1"/>
      <c r="F51" s="1"/>
      <c r="G51" s="1"/>
      <c r="H51" s="1"/>
      <c r="I51" s="1"/>
      <c r="J51" s="19">
        <f>(D51*D$60)+(E51*E$60)+(F51*F$60)+(G51*G$60)+(H51*H$60)+(I51*I$60)</f>
        <v>5</v>
      </c>
      <c r="K51" s="43" t="str">
        <f>IF(D51&gt;=100, 250, IF(D51&gt;=50, 150, IF(D51&gt;=30, 50, "")))</f>
        <v/>
      </c>
      <c r="L51" s="20" t="str">
        <f t="shared" si="0"/>
        <v/>
      </c>
      <c r="M51" s="20"/>
      <c r="N51" s="20"/>
      <c r="O51" s="20"/>
      <c r="P51" s="1"/>
      <c r="Q51" s="1"/>
      <c r="R51" s="17">
        <f>SUM(K51:Q51)</f>
        <v>0</v>
      </c>
      <c r="T51" s="14">
        <f>R51+J51</f>
        <v>5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157</v>
      </c>
      <c r="D52" s="12">
        <v>74</v>
      </c>
      <c r="E52" s="10"/>
      <c r="F52" s="10"/>
      <c r="G52" s="10"/>
      <c r="H52" s="10"/>
      <c r="I52" s="10"/>
      <c r="J52" s="11">
        <f>(D52*D$60)+(E52*E$60)+(F52*F$60)+(G52*G$60)+(H52*H$60)+(I52*I$60)</f>
        <v>370</v>
      </c>
      <c r="K52" s="9">
        <f>IF(D52&gt;=100, 250, IF(D52&gt;=50, 150, IF(D52&gt;=30, 50, "")))</f>
        <v>150</v>
      </c>
      <c r="L52" s="12" t="str">
        <f t="shared" si="0"/>
        <v/>
      </c>
      <c r="M52" s="12"/>
      <c r="N52" s="12"/>
      <c r="O52" s="12">
        <v>150</v>
      </c>
      <c r="P52" s="10"/>
      <c r="Q52" s="10"/>
      <c r="R52" s="13">
        <f>SUM(K52:Q52)</f>
        <v>300</v>
      </c>
      <c r="T52" s="34">
        <f>R52+J52</f>
        <v>670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1885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SUM(X62:X69)</f>
        <v>-210</v>
      </c>
      <c r="Y61" s="42">
        <f>SUM(Y62:Y69)</f>
        <v>-3015</v>
      </c>
      <c r="Z61" s="42">
        <f>SUM(Z62:Z69)</f>
        <v>-3485</v>
      </c>
      <c r="AA61" s="42">
        <f>SUM(AA62:AA69)</f>
        <v>6710</v>
      </c>
    </row>
    <row r="62" spans="2:27" x14ac:dyDescent="0.3">
      <c r="B62" s="66" t="s">
        <v>95</v>
      </c>
      <c r="C62" s="38" t="s">
        <v>52</v>
      </c>
      <c r="D62" s="5">
        <v>20</v>
      </c>
      <c r="E62" s="6"/>
      <c r="F62" s="6"/>
      <c r="G62" s="6"/>
      <c r="H62" s="6"/>
      <c r="I62" s="6"/>
      <c r="J62" s="7">
        <f>(D62*D$60)+(E62*E$60)+(F62*F$60)+(G62*G$60)+(H62*H$60)+(I62*I$60)</f>
        <v>100</v>
      </c>
      <c r="K62" s="15" t="str">
        <f>IF(D62&gt;=100, 250, IF(D62&gt;=50, 150, IF(D62&gt;=30, 50, "")))</f>
        <v/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0</v>
      </c>
      <c r="T62" s="14">
        <f>(R62+J62)*2</f>
        <v>200</v>
      </c>
      <c r="V62" s="28">
        <v>1</v>
      </c>
      <c r="W62" s="29">
        <v>45745</v>
      </c>
      <c r="X62" s="28">
        <v>1625</v>
      </c>
      <c r="Y62" s="28">
        <v>-605</v>
      </c>
      <c r="Z62" s="28">
        <v>-855</v>
      </c>
      <c r="AA62" s="28">
        <v>-165</v>
      </c>
    </row>
    <row r="63" spans="2:27" x14ac:dyDescent="0.3">
      <c r="B63" s="67"/>
      <c r="C63" s="4" t="s">
        <v>66</v>
      </c>
      <c r="D63" s="18">
        <v>18</v>
      </c>
      <c r="E63" s="1"/>
      <c r="F63" s="1"/>
      <c r="G63" s="1"/>
      <c r="H63" s="1"/>
      <c r="I63" s="1"/>
      <c r="J63" s="19">
        <f>(D63*D$60)+(E63*E$60)+(F63*F$60)+(G63*G$60)+(H63*H$60)+(I63*I$60)</f>
        <v>90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90</v>
      </c>
      <c r="V63" s="28">
        <v>2</v>
      </c>
      <c r="W63" s="44">
        <v>45746</v>
      </c>
      <c r="X63" s="45">
        <v>-770</v>
      </c>
      <c r="Y63" s="45">
        <v>-905</v>
      </c>
      <c r="Z63" s="45">
        <v>-1265</v>
      </c>
      <c r="AA63" s="45">
        <v>2940</v>
      </c>
    </row>
    <row r="64" spans="2:27" x14ac:dyDescent="0.3">
      <c r="B64" s="67"/>
      <c r="C64" s="4" t="s">
        <v>78</v>
      </c>
      <c r="D64" s="18">
        <v>81</v>
      </c>
      <c r="E64" s="1"/>
      <c r="F64" s="1"/>
      <c r="G64" s="1"/>
      <c r="H64" s="1"/>
      <c r="I64" s="1"/>
      <c r="J64" s="19">
        <f>(D64*D$60)+(E64*E$60)+(F64*F$60)+(G64*G$60)+(H64*H$60)+(I64*I$60)</f>
        <v>405</v>
      </c>
      <c r="K64" s="15">
        <f>IF(D64&gt;=100, 250, IF(D64&gt;=50, 150, IF(D64&gt;=30, 50, "")))</f>
        <v>150</v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>
        <v>150</v>
      </c>
      <c r="P64" s="1"/>
      <c r="Q64" s="1"/>
      <c r="R64" s="17">
        <f>SUM(K64:Q64)</f>
        <v>300</v>
      </c>
      <c r="T64" s="14">
        <f>R64+J64</f>
        <v>705</v>
      </c>
      <c r="V64" s="28">
        <v>3</v>
      </c>
      <c r="W64" s="44">
        <v>45746</v>
      </c>
      <c r="X64" s="45">
        <v>-1065</v>
      </c>
      <c r="Y64" s="45">
        <v>-1505</v>
      </c>
      <c r="Z64" s="45">
        <v>-1365</v>
      </c>
      <c r="AA64" s="45">
        <v>3935</v>
      </c>
    </row>
    <row r="65" spans="2:27" x14ac:dyDescent="0.3">
      <c r="B65" s="67"/>
      <c r="C65" s="4" t="s">
        <v>178</v>
      </c>
      <c r="D65" s="18">
        <v>2</v>
      </c>
      <c r="E65" s="1"/>
      <c r="F65" s="1"/>
      <c r="G65" s="1"/>
      <c r="H65" s="1"/>
      <c r="I65" s="1"/>
      <c r="J65" s="19">
        <f>(D65*D$60)+(E65*E$60)+(F65*F$60)+(G65*G$60)+(H65*H$60)+(I65*I$60)</f>
        <v>10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179</v>
      </c>
      <c r="D66" s="9">
        <v>19</v>
      </c>
      <c r="E66" s="10"/>
      <c r="F66" s="10"/>
      <c r="G66" s="10"/>
      <c r="H66" s="10">
        <v>2</v>
      </c>
      <c r="I66" s="10"/>
      <c r="J66" s="11">
        <f>(D66*D$60)+(E66*E$60)+(F66*F$60)+(G66*G$60)+(H66*H$60)+(I66*I$60)</f>
        <v>195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195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1200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180</v>
      </c>
      <c r="D68" s="23">
        <v>4</v>
      </c>
      <c r="E68" s="6"/>
      <c r="F68" s="6"/>
      <c r="G68" s="6"/>
      <c r="H68" s="6">
        <v>1</v>
      </c>
      <c r="I68" s="6"/>
      <c r="J68" s="7">
        <f>(D68*D$60)+(E68*E$60)+(F68*F$60)+(G68*G$60)+(H68*H$60)+(I68*I$60)</f>
        <v>70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140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181</v>
      </c>
      <c r="D69" s="20"/>
      <c r="E69" s="1">
        <v>2</v>
      </c>
      <c r="F69" s="1"/>
      <c r="G69" s="1"/>
      <c r="H69" s="1">
        <v>1</v>
      </c>
      <c r="I69" s="1"/>
      <c r="J69" s="19">
        <f>(D69*D$60)+(E69*E$60)+(F69*F$60)+(G69*G$60)+(H69*H$60)+(I69*I$60)</f>
        <v>250</v>
      </c>
      <c r="K69" s="43" t="str">
        <f>IF(D69&gt;=100, 250, IF(D69&gt;=50, 150, IF(D69&gt;=30, 50, "")))</f>
        <v/>
      </c>
      <c r="L69" s="20">
        <f>IF(E69=5, 200, IF(E69=3, 150, IF(E69=2, 50, "")))</f>
        <v>50</v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300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182</v>
      </c>
      <c r="D70" s="20">
        <v>23</v>
      </c>
      <c r="E70" s="1"/>
      <c r="F70" s="1"/>
      <c r="G70" s="1"/>
      <c r="H70" s="1"/>
      <c r="I70" s="1"/>
      <c r="J70" s="19">
        <f>(D70*D$60)+(E70*E$60)+(F70*F$60)+(G70*G$60)+(H70*H$60)+(I70*I$60)</f>
        <v>115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115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68</v>
      </c>
      <c r="D71" s="20"/>
      <c r="E71" s="1">
        <v>1</v>
      </c>
      <c r="F71" s="1"/>
      <c r="G71" s="1"/>
      <c r="H71" s="1">
        <v>2</v>
      </c>
      <c r="I71" s="1"/>
      <c r="J71" s="19">
        <f>(D71*D$60)+(E71*E$60)+(F71*F$60)+(G71*G$60)+(H71*H$60)+(I71*I$60)</f>
        <v>200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200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80</v>
      </c>
      <c r="D72" s="12">
        <v>1</v>
      </c>
      <c r="E72" s="10"/>
      <c r="F72" s="10"/>
      <c r="G72" s="10"/>
      <c r="H72" s="10"/>
      <c r="I72" s="10"/>
      <c r="J72" s="11">
        <f>(D72*D$60)+(E72*E$60)+(F72*F$60)+(G72*G$60)+(H72*H$60)+(I72*I$60)</f>
        <v>5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5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760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183</v>
      </c>
      <c r="D74" s="23">
        <v>0</v>
      </c>
      <c r="E74" s="6"/>
      <c r="F74" s="6"/>
      <c r="G74" s="6"/>
      <c r="H74" s="6">
        <v>1</v>
      </c>
      <c r="I74" s="6">
        <v>1</v>
      </c>
      <c r="J74" s="7">
        <f>(D74*D$60)+(E74*E$60)+(F74*F$60)+(G74*G$60)+(H74*H$60)+(I74*I$60)</f>
        <v>0</v>
      </c>
      <c r="K74" s="5" t="str">
        <f>IF(D74&gt;=100, 250, IF(D74&gt;=50, 150, IF(D74&gt;=30, 50, "")))</f>
        <v/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0</v>
      </c>
      <c r="T74" s="33">
        <f>(R74+J74)*2</f>
        <v>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61</v>
      </c>
      <c r="D75" s="20">
        <v>37</v>
      </c>
      <c r="E75" s="1"/>
      <c r="F75" s="1"/>
      <c r="G75" s="1"/>
      <c r="H75" s="1">
        <v>1</v>
      </c>
      <c r="I75" s="1"/>
      <c r="J75" s="19">
        <f>(D75*D$60)+(E75*E$60)+(F75*F$60)+(G75*G$60)+(H75*H$60)+(I75*I$60)</f>
        <v>235</v>
      </c>
      <c r="K75" s="43">
        <f>IF(D75&gt;=100, 250, IF(D75&gt;=50, 150, IF(D75&gt;=30, 50, "")))</f>
        <v>50</v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50</v>
      </c>
      <c r="T75" s="14">
        <f>R75+J75</f>
        <v>285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59</v>
      </c>
      <c r="D76" s="20">
        <v>32</v>
      </c>
      <c r="E76" s="1">
        <v>1</v>
      </c>
      <c r="F76" s="1"/>
      <c r="G76" s="1"/>
      <c r="H76" s="1"/>
      <c r="I76" s="1"/>
      <c r="J76" s="19">
        <f>(D76*D$60)+(E76*E$60)+(F76*F$60)+(G76*G$60)+(H76*H$60)+(I76*I$60)</f>
        <v>260</v>
      </c>
      <c r="K76" s="43">
        <f>IF(D76&gt;=100, 250, IF(D76&gt;=50, 150, IF(D76&gt;=30, 50, "")))</f>
        <v>50</v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50</v>
      </c>
      <c r="T76" s="14">
        <f>R76+J76</f>
        <v>310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184</v>
      </c>
      <c r="D77" s="20">
        <v>11</v>
      </c>
      <c r="E77" s="1"/>
      <c r="F77" s="1"/>
      <c r="G77" s="1"/>
      <c r="H77" s="1"/>
      <c r="I77" s="1"/>
      <c r="J77" s="19">
        <f>(D77*D$60)+(E77*E$60)+(F77*F$60)+(G77*G$60)+(H77*H$60)+(I77*I$60)</f>
        <v>55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55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141</v>
      </c>
      <c r="D78" s="12">
        <v>0</v>
      </c>
      <c r="E78" s="10">
        <v>1</v>
      </c>
      <c r="F78" s="10"/>
      <c r="G78" s="10"/>
      <c r="H78" s="10"/>
      <c r="I78" s="10">
        <v>1</v>
      </c>
      <c r="J78" s="11">
        <f>(D78*D$60)+(E78*E$60)+(F78*F$60)+(G78*G$60)+(H78*H$60)+(I78*I$60)</f>
        <v>50</v>
      </c>
      <c r="K78" s="9" t="str">
        <f>IF(D78&gt;=100, 250, IF(D78&gt;=50, 150, IF(D78&gt;=30, 50, "")))</f>
        <v/>
      </c>
      <c r="L78" s="12" t="str">
        <f>IF(E78=5, 200, IF(E78=3, 150, IF(E78=2, 50, "")))</f>
        <v/>
      </c>
      <c r="M78" s="12" t="str">
        <f>IF(H78=3,100,IF(H78=5,200,""))</f>
        <v/>
      </c>
      <c r="N78" s="12"/>
      <c r="O78" s="12"/>
      <c r="P78" s="10"/>
      <c r="Q78" s="10">
        <v>200</v>
      </c>
      <c r="R78" s="13">
        <f>SUM(K78:Q78)</f>
        <v>200</v>
      </c>
      <c r="T78" s="34">
        <f>R78+J78</f>
        <v>250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900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72</v>
      </c>
      <c r="D80" s="23">
        <v>63</v>
      </c>
      <c r="E80" s="6"/>
      <c r="F80" s="6"/>
      <c r="G80" s="6"/>
      <c r="H80" s="6">
        <v>1</v>
      </c>
      <c r="I80" s="6"/>
      <c r="J80" s="7">
        <f>(D80*D$60)+(E80*E$60)+(F80*F$60)+(G80*G$60)+(H80*H$60)+(I80*I$60)</f>
        <v>365</v>
      </c>
      <c r="K80" s="5">
        <f>IF(D80&gt;=100, 250, IF(D80&gt;=50, 150, IF(D80&gt;=30, 50, "")))</f>
        <v>150</v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150</v>
      </c>
      <c r="T80" s="33">
        <f>(R80+J80)*2</f>
        <v>1030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26</v>
      </c>
      <c r="D81" s="20"/>
      <c r="E81" s="1">
        <v>2</v>
      </c>
      <c r="F81" s="1"/>
      <c r="G81" s="1"/>
      <c r="H81" s="1"/>
      <c r="I81" s="1"/>
      <c r="J81" s="19">
        <f>(D81*D$60)+(E81*E$60)+(F81*F$60)+(G81*G$60)+(H81*H$60)+(I81*I$60)</f>
        <v>200</v>
      </c>
      <c r="K81" s="43" t="str">
        <f>IF(D81&gt;=100, 250, IF(D81&gt;=50, 150, IF(D81&gt;=30, 50, "")))</f>
        <v/>
      </c>
      <c r="L81" s="20">
        <f>IF(E81=5, 200, IF(E81=3, 150, IF(E81=2, 50, "")))</f>
        <v>50</v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50</v>
      </c>
      <c r="T81" s="14">
        <f>R81+J81</f>
        <v>250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139</v>
      </c>
      <c r="D82" s="20">
        <v>4</v>
      </c>
      <c r="E82" s="1">
        <v>4</v>
      </c>
      <c r="F82" s="1"/>
      <c r="G82" s="1"/>
      <c r="H82" s="1"/>
      <c r="I82" s="1"/>
      <c r="J82" s="19">
        <f>(D82*D$60)+(E82*E$60)+(F82*F$60)+(G82*G$60)+(H82*H$60)+(I82*I$60)</f>
        <v>420</v>
      </c>
      <c r="K82" s="43" t="str">
        <f>IF(D82&gt;=100, 250, IF(D82&gt;=50, 150, IF(D82&gt;=30, 50, "")))</f>
        <v/>
      </c>
      <c r="L82" s="20">
        <v>150</v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150</v>
      </c>
      <c r="T82" s="14">
        <f>R82+J82</f>
        <v>570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109</v>
      </c>
      <c r="D83" s="20">
        <v>3</v>
      </c>
      <c r="E83" s="1"/>
      <c r="F83" s="1"/>
      <c r="G83" s="1"/>
      <c r="H83" s="1">
        <v>1</v>
      </c>
      <c r="I83" s="1"/>
      <c r="J83" s="19">
        <f>(D83*D$60)+(E83*E$60)+(F83*F$60)+(G83*G$60)+(H83*H$60)+(I83*I$60)</f>
        <v>65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65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77</v>
      </c>
      <c r="D84" s="12"/>
      <c r="E84" s="10">
        <v>2</v>
      </c>
      <c r="F84" s="10">
        <v>2</v>
      </c>
      <c r="G84" s="10"/>
      <c r="H84" s="10"/>
      <c r="I84" s="10"/>
      <c r="J84" s="11">
        <f>(D84*D$60)+(E84*E$60)+(F84*F$60)+(G84*G$60)+(H84*H$60)+(I84*I$60)</f>
        <v>300</v>
      </c>
      <c r="K84" s="9" t="str">
        <f>IF(D84&gt;=100, 250, IF(D84&gt;=50, 150, IF(D84&gt;=30, 50, "")))</f>
        <v/>
      </c>
      <c r="L84" s="12">
        <f>IF(E84=5, 200, IF(E84=3, 150, IF(E84=2, 50, "")))</f>
        <v>50</v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50</v>
      </c>
      <c r="T84" s="34">
        <f>R84+J84</f>
        <v>350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2265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AI85"/>
  <sheetViews>
    <sheetView zoomScaleNormal="100" workbookViewId="0">
      <selection activeCell="X33" sqref="X33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0" width="8.88671875" style="3"/>
    <col min="31" max="31" width="10.109375" style="3" bestFit="1" customWidth="1"/>
    <col min="32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35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5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5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5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5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5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5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5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5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5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5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5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  <c r="AE28" s="36"/>
      <c r="AF28" s="36" t="s">
        <v>95</v>
      </c>
      <c r="AG28" s="35" t="s">
        <v>96</v>
      </c>
      <c r="AH28" s="35" t="s">
        <v>97</v>
      </c>
      <c r="AI28" s="35" t="s">
        <v>98</v>
      </c>
    </row>
    <row r="29" spans="2:35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-1825</v>
      </c>
      <c r="Y29" s="42">
        <f>SUM(Y30:Y37)</f>
        <v>-3665</v>
      </c>
      <c r="Z29" s="42">
        <f>SUM(Z30:Z37)</f>
        <v>295</v>
      </c>
      <c r="AA29" s="42">
        <f>SUM(AA30:AA37)</f>
        <v>5195</v>
      </c>
      <c r="AE29" s="42" t="s">
        <v>165</v>
      </c>
      <c r="AF29" s="42">
        <v>-4745</v>
      </c>
      <c r="AG29" s="42">
        <v>2405</v>
      </c>
      <c r="AH29" s="42">
        <v>10275</v>
      </c>
      <c r="AI29" s="42">
        <v>-7935</v>
      </c>
    </row>
    <row r="30" spans="2:35" x14ac:dyDescent="0.3">
      <c r="B30" s="66" t="s">
        <v>95</v>
      </c>
      <c r="C30" s="38" t="s">
        <v>49</v>
      </c>
      <c r="D30" s="5">
        <v>0</v>
      </c>
      <c r="E30" s="6"/>
      <c r="F30" s="6"/>
      <c r="G30" s="6"/>
      <c r="H30" s="6"/>
      <c r="I30" s="6">
        <v>1</v>
      </c>
      <c r="J30" s="7">
        <f>(D30*D$60)+(E30*E$60)+(F30*F$60)+(G30*G$60)+(H30*H$60)+(I30*I$60)</f>
        <v>-50</v>
      </c>
      <c r="K30" s="15" t="str">
        <f>IF(D30&gt;=100, 250, IF(D30&gt;=50, 150, IF(D30&gt;=30, 50, "")))</f>
        <v/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0</v>
      </c>
      <c r="T30" s="14">
        <f>(R30+J30)*2</f>
        <v>-100</v>
      </c>
      <c r="V30" s="28">
        <v>1</v>
      </c>
      <c r="W30" s="29">
        <v>45745</v>
      </c>
      <c r="X30" s="28">
        <v>1625</v>
      </c>
      <c r="Y30" s="28">
        <v>-605</v>
      </c>
      <c r="Z30" s="28">
        <v>-855</v>
      </c>
      <c r="AA30" s="28">
        <v>-165</v>
      </c>
    </row>
    <row r="31" spans="2:35" x14ac:dyDescent="0.3">
      <c r="B31" s="67"/>
      <c r="C31" s="4" t="s">
        <v>185</v>
      </c>
      <c r="D31" s="18">
        <v>3</v>
      </c>
      <c r="E31" s="1"/>
      <c r="F31" s="1"/>
      <c r="G31" s="1"/>
      <c r="H31" s="1"/>
      <c r="I31" s="1"/>
      <c r="J31" s="19">
        <f>(D31*D$60)+(E31*E$60)+(F31*F$60)+(G31*G$60)+(H31*H$60)+(I31*I$60)</f>
        <v>15</v>
      </c>
      <c r="K31" s="15" t="str">
        <f>IF(D31&gt;=100, 250, IF(D31&gt;=50, 150, IF(D31&gt;=30, 50, "")))</f>
        <v/>
      </c>
      <c r="L31" s="20" t="str">
        <f>IF(E31=5, 200, IF(E31=3, 150, IF(E31=2, 50, "")))</f>
        <v/>
      </c>
      <c r="M31" s="20" t="str">
        <f>IF(H31=3,100,IF(H31=5,200,""))</f>
        <v/>
      </c>
      <c r="N31" s="20"/>
      <c r="O31" s="20"/>
      <c r="P31" s="1"/>
      <c r="Q31" s="1"/>
      <c r="R31" s="17">
        <f>SUM(K31:Q31)</f>
        <v>0</v>
      </c>
      <c r="T31" s="14">
        <f>R31+J31</f>
        <v>15</v>
      </c>
      <c r="V31" s="28">
        <v>2</v>
      </c>
      <c r="W31" s="44">
        <v>45746</v>
      </c>
      <c r="X31" s="45">
        <v>-770</v>
      </c>
      <c r="Y31" s="45">
        <v>-905</v>
      </c>
      <c r="Z31" s="45">
        <v>-1265</v>
      </c>
      <c r="AA31" s="45">
        <v>2940</v>
      </c>
    </row>
    <row r="32" spans="2:35" x14ac:dyDescent="0.3">
      <c r="B32" s="67"/>
      <c r="C32" s="4" t="s">
        <v>166</v>
      </c>
      <c r="D32" s="18"/>
      <c r="E32" s="1">
        <v>1</v>
      </c>
      <c r="F32" s="1"/>
      <c r="G32" s="1"/>
      <c r="H32" s="1">
        <v>1</v>
      </c>
      <c r="I32" s="1"/>
      <c r="J32" s="19">
        <f>(D32*D$60)+(E32*E$60)+(F32*F$60)+(G32*G$60)+(H32*H$60)+(I32*I$60)</f>
        <v>150</v>
      </c>
      <c r="K32" s="15" t="str">
        <f>IF(D32&gt;=100, 250, IF(D32&gt;=50, 150, IF(D32&gt;=30, 50, "")))</f>
        <v/>
      </c>
      <c r="L32" s="20" t="str">
        <f>IF(E32=5, 200, IF(E32=3, 150, IF(E32=2, 50, "")))</f>
        <v/>
      </c>
      <c r="M32" s="20" t="str">
        <f>IF(H32=3,100,IF(H32=5,200,""))</f>
        <v/>
      </c>
      <c r="N32" s="20"/>
      <c r="O32" s="20"/>
      <c r="P32" s="1"/>
      <c r="Q32" s="1"/>
      <c r="R32" s="17">
        <f>SUM(K32:Q32)</f>
        <v>0</v>
      </c>
      <c r="T32" s="14">
        <f>R32+J32</f>
        <v>150</v>
      </c>
      <c r="V32" s="28">
        <v>3</v>
      </c>
      <c r="W32" s="44">
        <v>45746</v>
      </c>
      <c r="X32" s="45">
        <v>-1065</v>
      </c>
      <c r="Y32" s="45">
        <v>-1505</v>
      </c>
      <c r="Z32" s="45">
        <v>-1365</v>
      </c>
      <c r="AA32" s="45">
        <v>3935</v>
      </c>
    </row>
    <row r="33" spans="2:27" x14ac:dyDescent="0.3">
      <c r="B33" s="67"/>
      <c r="C33" s="4" t="s">
        <v>55</v>
      </c>
      <c r="D33" s="18"/>
      <c r="E33" s="1"/>
      <c r="F33" s="1"/>
      <c r="G33" s="1"/>
      <c r="H33" s="1">
        <v>1</v>
      </c>
      <c r="I33" s="1"/>
      <c r="J33" s="19">
        <f>(D33*D$60)+(E33*E$60)+(F33*F$60)+(G33*G$60)+(H33*H$60)+(I33*I$60)</f>
        <v>50</v>
      </c>
      <c r="K33" s="15" t="str">
        <f>IF(D33&gt;=100, 250, IF(D33&gt;=50, 150, IF(D33&gt;=30, 50, "")))</f>
        <v/>
      </c>
      <c r="L33" s="20" t="str">
        <f>IF(E33=5, 200, IF(E33=3, 150, IF(E33=2, 50, "")))</f>
        <v/>
      </c>
      <c r="M33" s="20" t="str">
        <f>IF(H33=3,100,IF(H33=5,200,""))</f>
        <v/>
      </c>
      <c r="N33" s="20"/>
      <c r="O33" s="20"/>
      <c r="P33" s="1"/>
      <c r="Q33" s="1"/>
      <c r="R33" s="17">
        <f>SUM(K33:Q33)</f>
        <v>0</v>
      </c>
      <c r="T33" s="14">
        <f>R33+J33</f>
        <v>50</v>
      </c>
      <c r="V33" s="28">
        <v>4</v>
      </c>
      <c r="W33" s="44">
        <v>45747</v>
      </c>
      <c r="X33" s="45">
        <v>-1615</v>
      </c>
      <c r="Y33" s="45">
        <v>-650</v>
      </c>
      <c r="Z33" s="45">
        <v>3780</v>
      </c>
      <c r="AA33" s="45">
        <v>-1515</v>
      </c>
    </row>
    <row r="34" spans="2:27" ht="15" thickBot="1" x14ac:dyDescent="0.35">
      <c r="B34" s="68"/>
      <c r="C34" s="21" t="s">
        <v>88</v>
      </c>
      <c r="D34" s="9"/>
      <c r="E34" s="10">
        <v>1</v>
      </c>
      <c r="F34" s="10"/>
      <c r="G34" s="10"/>
      <c r="H34" s="10"/>
      <c r="I34" s="10"/>
      <c r="J34" s="11">
        <f>(D34*D$60)+(E34*E$60)+(F34*F$60)+(G34*G$60)+(H34*H$60)+(I34*I$60)</f>
        <v>100</v>
      </c>
      <c r="K34" s="12" t="str">
        <f>IF(D34&gt;=100, 250, IF(D34&gt;=50, 150, IF(D34&gt;=30, 50, "")))</f>
        <v/>
      </c>
      <c r="L34" s="12" t="str">
        <f>IF(E34=5, 200, IF(E34=3, 150, IF(E34=2, 50, "")))</f>
        <v/>
      </c>
      <c r="M34" s="12" t="str">
        <f>IF(H34=3,100,IF(H34=5,200,""))</f>
        <v/>
      </c>
      <c r="N34" s="12"/>
      <c r="O34" s="12"/>
      <c r="P34" s="10"/>
      <c r="Q34" s="10"/>
      <c r="R34" s="13">
        <f>SUM(K34:Q34)</f>
        <v>0</v>
      </c>
      <c r="T34" s="22">
        <f>(R34+J34)</f>
        <v>100</v>
      </c>
      <c r="V34" s="28">
        <v>5</v>
      </c>
      <c r="W34" s="29"/>
      <c r="X34" s="28"/>
      <c r="Y34" s="28"/>
      <c r="Z34" s="28"/>
      <c r="AA34" s="28"/>
    </row>
    <row r="35" spans="2:27" ht="15" thickBot="1" x14ac:dyDescent="0.35">
      <c r="T35" s="37">
        <f>SUM(T30:T34)</f>
        <v>215</v>
      </c>
      <c r="V35" s="28">
        <v>6</v>
      </c>
      <c r="W35" s="29"/>
      <c r="X35" s="28"/>
      <c r="Y35" s="28"/>
      <c r="Z35" s="28"/>
      <c r="AA35" s="28"/>
    </row>
    <row r="36" spans="2:27" x14ac:dyDescent="0.3">
      <c r="B36" s="66" t="s">
        <v>96</v>
      </c>
      <c r="C36" s="39" t="s">
        <v>186</v>
      </c>
      <c r="D36" s="23">
        <v>16</v>
      </c>
      <c r="E36" s="6"/>
      <c r="F36" s="6"/>
      <c r="G36" s="6"/>
      <c r="H36" s="6"/>
      <c r="I36" s="6"/>
      <c r="J36" s="7">
        <f>(D36*D$60)+(E36*E$60)+(F36*F$60)+(G36*G$60)+(H36*H$60)+(I36*I$60)</f>
        <v>80</v>
      </c>
      <c r="K36" s="5" t="str">
        <f>IF(D36&gt;=100, 250, IF(D36&gt;=50, 150, IF(D36&gt;=30, 50, "")))</f>
        <v/>
      </c>
      <c r="L36" s="23" t="str">
        <f>IF(E36=5, 200, IF(E36=3, 150, IF(E36=2, 50, "")))</f>
        <v/>
      </c>
      <c r="M36" s="23" t="str">
        <f>IF(H36=3,100,IF(H36=5,200,""))</f>
        <v/>
      </c>
      <c r="N36" s="23"/>
      <c r="O36" s="23"/>
      <c r="P36" s="6"/>
      <c r="Q36" s="6"/>
      <c r="R36" s="24">
        <f>SUM(K36:Q36)</f>
        <v>0</v>
      </c>
      <c r="T36" s="33">
        <f>(R36+J36)*2</f>
        <v>160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57</v>
      </c>
      <c r="D37" s="20">
        <v>13</v>
      </c>
      <c r="E37" s="1"/>
      <c r="F37" s="1"/>
      <c r="G37" s="1"/>
      <c r="H37" s="1"/>
      <c r="I37" s="1"/>
      <c r="J37" s="19">
        <f>(D37*D$60)+(E37*E$60)+(F37*F$60)+(G37*G$60)+(H37*H$60)+(I37*I$60)</f>
        <v>65</v>
      </c>
      <c r="K37" s="43" t="str">
        <f>IF(D37&gt;=100, 250, IF(D37&gt;=50, 150, IF(D37&gt;=30, 50, "")))</f>
        <v/>
      </c>
      <c r="L37" s="20" t="str">
        <f>IF(E37=5, 200, IF(E37=3, 150, IF(E37=2, 50, "")))</f>
        <v/>
      </c>
      <c r="M37" s="20" t="str">
        <f>IF(H37=3,100,IF(H37=5,200,""))</f>
        <v/>
      </c>
      <c r="N37" s="20"/>
      <c r="O37" s="20"/>
      <c r="P37" s="1"/>
      <c r="Q37" s="1"/>
      <c r="R37" s="17">
        <f>SUM(K37:Q37)</f>
        <v>0</v>
      </c>
      <c r="T37" s="14">
        <f>R37+J37</f>
        <v>65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25</v>
      </c>
      <c r="D38" s="20">
        <v>11</v>
      </c>
      <c r="E38" s="1"/>
      <c r="F38" s="1"/>
      <c r="G38" s="1"/>
      <c r="H38" s="1">
        <v>1</v>
      </c>
      <c r="I38" s="1"/>
      <c r="J38" s="19">
        <f>(D38*D$60)+(E38*E$60)+(F38*F$60)+(G38*G$60)+(H38*H$60)+(I38*I$60)</f>
        <v>105</v>
      </c>
      <c r="K38" s="43" t="str">
        <f>IF(D38&gt;=100, 250, IF(D38&gt;=50, 150, IF(D38&gt;=30, 50, "")))</f>
        <v/>
      </c>
      <c r="L38" s="20" t="str">
        <f>IF(E38=5, 200, IF(E38=3, 150, IF(E38=2, 50, "")))</f>
        <v/>
      </c>
      <c r="M38" s="20" t="str">
        <f>IF(H38=3,100,IF(H38=5,200,""))</f>
        <v/>
      </c>
      <c r="N38" s="20"/>
      <c r="O38" s="20"/>
      <c r="P38" s="1"/>
      <c r="Q38" s="1"/>
      <c r="R38" s="17">
        <f>SUM(K38:Q38)</f>
        <v>0</v>
      </c>
      <c r="T38" s="14">
        <f>R38+J38</f>
        <v>105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23</v>
      </c>
      <c r="D39" s="20"/>
      <c r="E39" s="1">
        <v>2</v>
      </c>
      <c r="F39" s="1"/>
      <c r="G39" s="1"/>
      <c r="H39" s="1"/>
      <c r="I39" s="1"/>
      <c r="J39" s="19">
        <f>(D39*D$60)+(E39*E$60)+(F39*F$60)+(G39*G$60)+(H39*H$60)+(I39*I$60)</f>
        <v>200</v>
      </c>
      <c r="K39" s="43" t="str">
        <f>IF(D39&gt;=100, 250, IF(D39&gt;=50, 150, IF(D39&gt;=30, 50, "")))</f>
        <v/>
      </c>
      <c r="L39" s="20">
        <f>IF(E39=5, 200, IF(E39=3, 150, IF(E39=2, 50, "")))</f>
        <v>50</v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50</v>
      </c>
      <c r="T39" s="14">
        <f>R39+J39</f>
        <v>250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187</v>
      </c>
      <c r="D40" s="12"/>
      <c r="E40" s="10">
        <v>4</v>
      </c>
      <c r="F40" s="10"/>
      <c r="G40" s="10"/>
      <c r="H40" s="10">
        <v>1</v>
      </c>
      <c r="I40" s="10"/>
      <c r="J40" s="11">
        <f>(D40*D$60)+(E40*E$60)+(F40*F$60)+(G40*G$60)+(H40*H$60)+(I40*I$60)</f>
        <v>450</v>
      </c>
      <c r="K40" s="9" t="str">
        <f>IF(D40&gt;=100, 250, IF(D40&gt;=50, 150, IF(D40&gt;=30, 50, "")))</f>
        <v/>
      </c>
      <c r="L40" s="12">
        <v>150</v>
      </c>
      <c r="M40" s="12" t="str">
        <f>IF(H40=3,100,IF(H40=5,200,""))</f>
        <v/>
      </c>
      <c r="N40" s="12"/>
      <c r="O40" s="12"/>
      <c r="P40" s="10"/>
      <c r="Q40" s="10"/>
      <c r="R40" s="13">
        <f>SUM(K40:Q40)</f>
        <v>150</v>
      </c>
      <c r="T40" s="34">
        <f>R40+J40</f>
        <v>600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1180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111</v>
      </c>
      <c r="D42" s="23">
        <v>62</v>
      </c>
      <c r="E42" s="6"/>
      <c r="F42" s="6"/>
      <c r="G42" s="6"/>
      <c r="H42" s="6">
        <v>1</v>
      </c>
      <c r="I42" s="6"/>
      <c r="J42" s="7">
        <f>(D42*D$60)+(E42*E$60)+(F42*F$60)+(G42*G$60)+(H42*H$60)+(I42*I$60)</f>
        <v>360</v>
      </c>
      <c r="K42" s="5">
        <f>IF(D42&gt;=100, 250, IF(D42&gt;=50, 150, IF(D42&gt;=30, 50, "")))</f>
        <v>150</v>
      </c>
      <c r="L42" s="23" t="str">
        <f>IF(E42=5, 200, IF(E42=3, 150, IF(E42=2, 50, "")))</f>
        <v/>
      </c>
      <c r="M42" s="23" t="str">
        <f>IF(H42=3,100,IF(H42=5,200,""))</f>
        <v/>
      </c>
      <c r="N42" s="23"/>
      <c r="O42" s="23">
        <v>150</v>
      </c>
      <c r="P42" s="6"/>
      <c r="Q42" s="6"/>
      <c r="R42" s="24">
        <f>SUM(K42:Q42)</f>
        <v>300</v>
      </c>
      <c r="T42" s="33">
        <f>(R42+J42)*2</f>
        <v>1320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64</v>
      </c>
      <c r="D43" s="20">
        <v>5</v>
      </c>
      <c r="E43" s="1">
        <v>2</v>
      </c>
      <c r="F43" s="1"/>
      <c r="G43" s="1"/>
      <c r="H43" s="1"/>
      <c r="I43" s="1"/>
      <c r="J43" s="19">
        <f>(D43*D$60)+(E43*E$60)+(F43*F$60)+(G43*G$60)+(H43*H$60)+(I43*I$60)</f>
        <v>225</v>
      </c>
      <c r="K43" s="43" t="str">
        <f>IF(D43&gt;=100, 250, IF(D43&gt;=50, 150, IF(D43&gt;=30, 50, "")))</f>
        <v/>
      </c>
      <c r="L43" s="20">
        <f>IF(E43=5, 200, IF(E43=3, 150, IF(E43=2, 50, "")))</f>
        <v>50</v>
      </c>
      <c r="M43" s="20" t="str">
        <f>IF(H43=3,100,IF(H43=5,200,""))</f>
        <v/>
      </c>
      <c r="N43" s="20"/>
      <c r="O43" s="20"/>
      <c r="P43" s="1"/>
      <c r="Q43" s="1"/>
      <c r="R43" s="17">
        <f>SUM(K43:Q43)</f>
        <v>50</v>
      </c>
      <c r="T43" s="14">
        <f>R43+J43</f>
        <v>275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143</v>
      </c>
      <c r="D44" s="20">
        <v>26</v>
      </c>
      <c r="E44" s="1"/>
      <c r="F44" s="1"/>
      <c r="G44" s="1"/>
      <c r="H44" s="1"/>
      <c r="I44" s="1"/>
      <c r="J44" s="19">
        <f>(D44*D$60)+(E44*E$60)+(F44*F$60)+(G44*G$60)+(H44*H$60)+(I44*I$60)</f>
        <v>130</v>
      </c>
      <c r="K44" s="43" t="str">
        <f>IF(D44&gt;=100, 250, IF(D44&gt;=50, 150, IF(D44&gt;=30, 50, "")))</f>
        <v/>
      </c>
      <c r="L44" s="20" t="str">
        <f>IF(E44=5, 200, IF(E44=3, 150, IF(E44=2, 50, "")))</f>
        <v/>
      </c>
      <c r="M44" s="20" t="str">
        <f>IF(H44=3,100,IF(H44=5,200,""))</f>
        <v/>
      </c>
      <c r="N44" s="20"/>
      <c r="O44" s="20"/>
      <c r="P44" s="1"/>
      <c r="Q44" s="1"/>
      <c r="R44" s="17">
        <f>SUM(K44:Q44)</f>
        <v>0</v>
      </c>
      <c r="T44" s="14">
        <f>R44+J44</f>
        <v>130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188</v>
      </c>
      <c r="D45" s="20"/>
      <c r="E45" s="1">
        <v>1</v>
      </c>
      <c r="F45" s="1"/>
      <c r="G45" s="1"/>
      <c r="H45" s="1"/>
      <c r="I45" s="1"/>
      <c r="J45" s="19">
        <f>(D45*D$60)+(E45*E$60)+(F45*F$60)+(G45*G$60)+(H45*H$60)+(I45*I$60)</f>
        <v>100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100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74</v>
      </c>
      <c r="D46" s="12">
        <v>1</v>
      </c>
      <c r="E46" s="10"/>
      <c r="F46" s="10"/>
      <c r="G46" s="10"/>
      <c r="H46" s="10"/>
      <c r="I46" s="10"/>
      <c r="J46" s="11">
        <f>(D46*D$60)+(E46*E$60)+(F46*F$60)+(G46*G$60)+(H46*H$60)+(I46*I$60)</f>
        <v>5</v>
      </c>
      <c r="K46" s="9" t="str">
        <f>IF(D46&gt;=100, 250, IF(D46&gt;=50, 150, IF(D46&gt;=30, 50, "")))</f>
        <v/>
      </c>
      <c r="L46" s="12" t="str">
        <f>IF(E46=5, 200, IF(E46=3, 150, IF(E46=2, 50, "")))</f>
        <v/>
      </c>
      <c r="M46" s="12" t="str">
        <f>IF(H46=3,100,IF(H46=5,200,""))</f>
        <v/>
      </c>
      <c r="N46" s="12"/>
      <c r="O46" s="12"/>
      <c r="P46" s="10"/>
      <c r="Q46" s="10"/>
      <c r="R46" s="13">
        <f>SUM(K46:Q46)</f>
        <v>0</v>
      </c>
      <c r="T46" s="34">
        <f>R46+J46</f>
        <v>5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1830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189</v>
      </c>
      <c r="D48" s="23">
        <v>1</v>
      </c>
      <c r="E48" s="6"/>
      <c r="F48" s="6"/>
      <c r="G48" s="6"/>
      <c r="H48" s="6"/>
      <c r="I48" s="6"/>
      <c r="J48" s="7">
        <f>(D48*D$60)+(E48*E$60)+(F48*F$60)+(G48*G$60)+(H48*H$60)+(I48*I$60)</f>
        <v>5</v>
      </c>
      <c r="K48" s="5" t="str">
        <f>IF(D48&gt;=100, 250, IF(D48&gt;=50, 150, IF(D48&gt;=30, 50, "")))</f>
        <v/>
      </c>
      <c r="L48" s="23" t="str">
        <f>IF(E48=5, 200, IF(E48=3, 150, IF(E48=2, 50, "")))</f>
        <v/>
      </c>
      <c r="M48" s="23" t="str">
        <f>IF(H48=3,100,IF(H48=5,200,""))</f>
        <v/>
      </c>
      <c r="N48" s="23"/>
      <c r="O48" s="23"/>
      <c r="P48" s="6"/>
      <c r="Q48" s="6"/>
      <c r="R48" s="24">
        <f>SUM(K48:Q48)</f>
        <v>0</v>
      </c>
      <c r="T48" s="33">
        <f>(R48+J48)*2</f>
        <v>10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70</v>
      </c>
      <c r="D49" s="20">
        <v>27</v>
      </c>
      <c r="E49" s="1"/>
      <c r="F49" s="1"/>
      <c r="G49" s="1"/>
      <c r="H49" s="1"/>
      <c r="I49" s="1"/>
      <c r="J49" s="19">
        <f>(D49*D$60)+(E49*E$60)+(F49*F$60)+(G49*G$60)+(H49*H$60)+(I49*I$60)</f>
        <v>135</v>
      </c>
      <c r="K49" s="43" t="str">
        <f>IF(D49&gt;=100, 250, IF(D49&gt;=50, 150, IF(D49&gt;=30, 50, "")))</f>
        <v/>
      </c>
      <c r="L49" s="20" t="str">
        <f>IF(E49=5, 200, IF(E49=3, 150, IF(E49=2, 50, "")))</f>
        <v/>
      </c>
      <c r="M49" s="20" t="str">
        <f>IF(H49=3,100,IF(H49=5,200,""))</f>
        <v/>
      </c>
      <c r="N49" s="20"/>
      <c r="O49" s="20"/>
      <c r="P49" s="1"/>
      <c r="Q49" s="1"/>
      <c r="R49" s="17">
        <f>SUM(K49:Q49)</f>
        <v>0</v>
      </c>
      <c r="T49" s="14">
        <f>R49+J49</f>
        <v>135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51</v>
      </c>
      <c r="D50" s="20"/>
      <c r="E50" s="1">
        <v>1</v>
      </c>
      <c r="F50" s="1"/>
      <c r="G50" s="1"/>
      <c r="H50" s="1"/>
      <c r="I50" s="1"/>
      <c r="J50" s="19">
        <f>(D50*D$60)+(E50*E$60)+(F50*F$60)+(G50*G$60)+(H50*H$60)+(I50*I$60)</f>
        <v>100</v>
      </c>
      <c r="K50" s="43" t="str">
        <f>IF(D50&gt;=100, 250, IF(D50&gt;=50, 150, IF(D50&gt;=30, 50, "")))</f>
        <v/>
      </c>
      <c r="L50" s="20"/>
      <c r="M50" s="20" t="str">
        <f>IF(H50=3,100,IF(H50=5,200,""))</f>
        <v/>
      </c>
      <c r="N50" s="20"/>
      <c r="O50" s="20"/>
      <c r="P50" s="1"/>
      <c r="Q50" s="1"/>
      <c r="R50" s="17">
        <f>SUM(K50:Q50)</f>
        <v>0</v>
      </c>
      <c r="T50" s="14">
        <f>R50+J50</f>
        <v>100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190</v>
      </c>
      <c r="D51" s="20"/>
      <c r="E51" s="1"/>
      <c r="F51" s="1"/>
      <c r="G51" s="1"/>
      <c r="H51" s="1"/>
      <c r="I51" s="1"/>
      <c r="J51" s="19">
        <f>(D51*D$60)+(E51*E$60)+(F51*F$60)+(G51*G$60)+(H51*H$60)+(I51*I$60)</f>
        <v>0</v>
      </c>
      <c r="K51" s="43" t="str">
        <f>IF(D51&gt;=100, 250, IF(D51&gt;=50, 150, IF(D51&gt;=30, 50, "")))</f>
        <v/>
      </c>
      <c r="L51" s="20" t="str">
        <f>IF(E51=5, 200, IF(E51=3, 150, IF(E51=2, 50, "")))</f>
        <v/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0</v>
      </c>
      <c r="T51" s="14">
        <f>R51+J51</f>
        <v>0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78</v>
      </c>
      <c r="D52" s="12">
        <v>4</v>
      </c>
      <c r="E52" s="10"/>
      <c r="F52" s="10"/>
      <c r="G52" s="10"/>
      <c r="H52" s="10">
        <v>1</v>
      </c>
      <c r="I52" s="10"/>
      <c r="J52" s="11">
        <f>(D52*D$60)+(E52*E$60)+(F52*F$60)+(G52*G$60)+(H52*H$60)+(I52*I$60)</f>
        <v>70</v>
      </c>
      <c r="K52" s="9" t="str">
        <f>IF(D52&gt;=100, 250, IF(D52&gt;=50, 150, IF(D52&gt;=30, 50, "")))</f>
        <v/>
      </c>
      <c r="L52" s="12" t="str">
        <f>IF(E52=5, 200, IF(E52=3, 150, IF(E52=2, 50, "")))</f>
        <v/>
      </c>
      <c r="M52" s="12" t="str">
        <f>IF(H52=3,100,IF(H52=5,200,""))</f>
        <v/>
      </c>
      <c r="N52" s="12"/>
      <c r="O52" s="12"/>
      <c r="P52" s="10"/>
      <c r="Q52" s="10"/>
      <c r="R52" s="13">
        <f>SUM(K52:Q52)</f>
        <v>0</v>
      </c>
      <c r="T52" s="34">
        <f>R52+J52</f>
        <v>70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315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SUM(X62:X69)</f>
        <v>-210</v>
      </c>
      <c r="Y61" s="42">
        <f>SUM(Y62:Y69)</f>
        <v>-3015</v>
      </c>
      <c r="Z61" s="42">
        <f>SUM(Z62:Z69)</f>
        <v>-3485</v>
      </c>
      <c r="AA61" s="42">
        <f>SUM(AA62:AA69)</f>
        <v>6710</v>
      </c>
    </row>
    <row r="62" spans="2:27" x14ac:dyDescent="0.3">
      <c r="B62" s="66" t="s">
        <v>95</v>
      </c>
      <c r="C62" s="38" t="s">
        <v>52</v>
      </c>
      <c r="D62" s="5">
        <v>20</v>
      </c>
      <c r="E62" s="6"/>
      <c r="F62" s="6"/>
      <c r="G62" s="6"/>
      <c r="H62" s="6"/>
      <c r="I62" s="6"/>
      <c r="J62" s="7">
        <f>(D62*D$60)+(E62*E$60)+(F62*F$60)+(G62*G$60)+(H62*H$60)+(I62*I$60)</f>
        <v>100</v>
      </c>
      <c r="K62" s="15" t="str">
        <f>IF(D62&gt;=100, 250, IF(D62&gt;=50, 150, IF(D62&gt;=30, 50, "")))</f>
        <v/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0</v>
      </c>
      <c r="T62" s="14">
        <f>(R62+J62)*2</f>
        <v>200</v>
      </c>
      <c r="V62" s="28">
        <v>1</v>
      </c>
      <c r="W62" s="29">
        <v>45745</v>
      </c>
      <c r="X62" s="28">
        <v>1625</v>
      </c>
      <c r="Y62" s="28">
        <v>-605</v>
      </c>
      <c r="Z62" s="28">
        <v>-855</v>
      </c>
      <c r="AA62" s="28">
        <v>-165</v>
      </c>
    </row>
    <row r="63" spans="2:27" x14ac:dyDescent="0.3">
      <c r="B63" s="67"/>
      <c r="C63" s="4" t="s">
        <v>66</v>
      </c>
      <c r="D63" s="18">
        <v>18</v>
      </c>
      <c r="E63" s="1"/>
      <c r="F63" s="1"/>
      <c r="G63" s="1"/>
      <c r="H63" s="1"/>
      <c r="I63" s="1"/>
      <c r="J63" s="19">
        <f>(D63*D$60)+(E63*E$60)+(F63*F$60)+(G63*G$60)+(H63*H$60)+(I63*I$60)</f>
        <v>90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90</v>
      </c>
      <c r="V63" s="28">
        <v>2</v>
      </c>
      <c r="W63" s="44">
        <v>45746</v>
      </c>
      <c r="X63" s="45">
        <v>-770</v>
      </c>
      <c r="Y63" s="45">
        <v>-905</v>
      </c>
      <c r="Z63" s="45">
        <v>-1265</v>
      </c>
      <c r="AA63" s="45">
        <v>2940</v>
      </c>
    </row>
    <row r="64" spans="2:27" x14ac:dyDescent="0.3">
      <c r="B64" s="67"/>
      <c r="C64" s="4" t="s">
        <v>78</v>
      </c>
      <c r="D64" s="18">
        <v>81</v>
      </c>
      <c r="E64" s="1"/>
      <c r="F64" s="1"/>
      <c r="G64" s="1"/>
      <c r="H64" s="1"/>
      <c r="I64" s="1"/>
      <c r="J64" s="19">
        <f>(D64*D$60)+(E64*E$60)+(F64*F$60)+(G64*G$60)+(H64*H$60)+(I64*I$60)</f>
        <v>405</v>
      </c>
      <c r="K64" s="15">
        <f>IF(D64&gt;=100, 250, IF(D64&gt;=50, 150, IF(D64&gt;=30, 50, "")))</f>
        <v>150</v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>
        <v>150</v>
      </c>
      <c r="P64" s="1"/>
      <c r="Q64" s="1"/>
      <c r="R64" s="17">
        <f>SUM(K64:Q64)</f>
        <v>300</v>
      </c>
      <c r="T64" s="14">
        <f>R64+J64</f>
        <v>705</v>
      </c>
      <c r="V64" s="28">
        <v>3</v>
      </c>
      <c r="W64" s="44">
        <v>45746</v>
      </c>
      <c r="X64" s="45">
        <v>-1065</v>
      </c>
      <c r="Y64" s="45">
        <v>-1505</v>
      </c>
      <c r="Z64" s="45">
        <v>-1365</v>
      </c>
      <c r="AA64" s="45">
        <v>3935</v>
      </c>
    </row>
    <row r="65" spans="2:27" x14ac:dyDescent="0.3">
      <c r="B65" s="67"/>
      <c r="C65" s="4" t="s">
        <v>178</v>
      </c>
      <c r="D65" s="18">
        <v>2</v>
      </c>
      <c r="E65" s="1"/>
      <c r="F65" s="1"/>
      <c r="G65" s="1"/>
      <c r="H65" s="1"/>
      <c r="I65" s="1"/>
      <c r="J65" s="19">
        <f>(D65*D$60)+(E65*E$60)+(F65*F$60)+(G65*G$60)+(H65*H$60)+(I65*I$60)</f>
        <v>10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179</v>
      </c>
      <c r="D66" s="9">
        <v>19</v>
      </c>
      <c r="E66" s="10"/>
      <c r="F66" s="10"/>
      <c r="G66" s="10"/>
      <c r="H66" s="10">
        <v>2</v>
      </c>
      <c r="I66" s="10"/>
      <c r="J66" s="11">
        <f>(D66*D$60)+(E66*E$60)+(F66*F$60)+(G66*G$60)+(H66*H$60)+(I66*I$60)</f>
        <v>195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195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1200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180</v>
      </c>
      <c r="D68" s="23">
        <v>4</v>
      </c>
      <c r="E68" s="6"/>
      <c r="F68" s="6"/>
      <c r="G68" s="6"/>
      <c r="H68" s="6">
        <v>1</v>
      </c>
      <c r="I68" s="6"/>
      <c r="J68" s="7">
        <f>(D68*D$60)+(E68*E$60)+(F68*F$60)+(G68*G$60)+(H68*H$60)+(I68*I$60)</f>
        <v>70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140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181</v>
      </c>
      <c r="D69" s="20"/>
      <c r="E69" s="1">
        <v>2</v>
      </c>
      <c r="F69" s="1"/>
      <c r="G69" s="1"/>
      <c r="H69" s="1">
        <v>1</v>
      </c>
      <c r="I69" s="1"/>
      <c r="J69" s="19">
        <f>(D69*D$60)+(E69*E$60)+(F69*F$60)+(G69*G$60)+(H69*H$60)+(I69*I$60)</f>
        <v>250</v>
      </c>
      <c r="K69" s="43" t="str">
        <f>IF(D69&gt;=100, 250, IF(D69&gt;=50, 150, IF(D69&gt;=30, 50, "")))</f>
        <v/>
      </c>
      <c r="L69" s="20">
        <f>IF(E69=5, 200, IF(E69=3, 150, IF(E69=2, 50, "")))</f>
        <v>50</v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300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182</v>
      </c>
      <c r="D70" s="20">
        <v>23</v>
      </c>
      <c r="E70" s="1"/>
      <c r="F70" s="1"/>
      <c r="G70" s="1"/>
      <c r="H70" s="1"/>
      <c r="I70" s="1"/>
      <c r="J70" s="19">
        <f>(D70*D$60)+(E70*E$60)+(F70*F$60)+(G70*G$60)+(H70*H$60)+(I70*I$60)</f>
        <v>115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115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68</v>
      </c>
      <c r="D71" s="20"/>
      <c r="E71" s="1">
        <v>1</v>
      </c>
      <c r="F71" s="1"/>
      <c r="G71" s="1"/>
      <c r="H71" s="1">
        <v>2</v>
      </c>
      <c r="I71" s="1"/>
      <c r="J71" s="19">
        <f>(D71*D$60)+(E71*E$60)+(F71*F$60)+(G71*G$60)+(H71*H$60)+(I71*I$60)</f>
        <v>200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200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80</v>
      </c>
      <c r="D72" s="12">
        <v>1</v>
      </c>
      <c r="E72" s="10"/>
      <c r="F72" s="10"/>
      <c r="G72" s="10"/>
      <c r="H72" s="10"/>
      <c r="I72" s="10"/>
      <c r="J72" s="11">
        <f>(D72*D$60)+(E72*E$60)+(F72*F$60)+(G72*G$60)+(H72*H$60)+(I72*I$60)</f>
        <v>5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5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760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183</v>
      </c>
      <c r="D74" s="23">
        <v>0</v>
      </c>
      <c r="E74" s="6"/>
      <c r="F74" s="6"/>
      <c r="G74" s="6"/>
      <c r="H74" s="6">
        <v>1</v>
      </c>
      <c r="I74" s="6">
        <v>1</v>
      </c>
      <c r="J74" s="7">
        <f>(D74*D$60)+(E74*E$60)+(F74*F$60)+(G74*G$60)+(H74*H$60)+(I74*I$60)</f>
        <v>0</v>
      </c>
      <c r="K74" s="5" t="str">
        <f>IF(D74&gt;=100, 250, IF(D74&gt;=50, 150, IF(D74&gt;=30, 50, "")))</f>
        <v/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0</v>
      </c>
      <c r="T74" s="33">
        <f>(R74+J74)*2</f>
        <v>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61</v>
      </c>
      <c r="D75" s="20">
        <v>37</v>
      </c>
      <c r="E75" s="1"/>
      <c r="F75" s="1"/>
      <c r="G75" s="1"/>
      <c r="H75" s="1">
        <v>1</v>
      </c>
      <c r="I75" s="1"/>
      <c r="J75" s="19">
        <f>(D75*D$60)+(E75*E$60)+(F75*F$60)+(G75*G$60)+(H75*H$60)+(I75*I$60)</f>
        <v>235</v>
      </c>
      <c r="K75" s="43">
        <f>IF(D75&gt;=100, 250, IF(D75&gt;=50, 150, IF(D75&gt;=30, 50, "")))</f>
        <v>50</v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50</v>
      </c>
      <c r="T75" s="14">
        <f>R75+J75</f>
        <v>285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59</v>
      </c>
      <c r="D76" s="20">
        <v>32</v>
      </c>
      <c r="E76" s="1">
        <v>1</v>
      </c>
      <c r="F76" s="1"/>
      <c r="G76" s="1"/>
      <c r="H76" s="1"/>
      <c r="I76" s="1"/>
      <c r="J76" s="19">
        <f>(D76*D$60)+(E76*E$60)+(F76*F$60)+(G76*G$60)+(H76*H$60)+(I76*I$60)</f>
        <v>260</v>
      </c>
      <c r="K76" s="43">
        <f>IF(D76&gt;=100, 250, IF(D76&gt;=50, 150, IF(D76&gt;=30, 50, "")))</f>
        <v>50</v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50</v>
      </c>
      <c r="T76" s="14">
        <f>R76+J76</f>
        <v>310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184</v>
      </c>
      <c r="D77" s="20">
        <v>11</v>
      </c>
      <c r="E77" s="1"/>
      <c r="F77" s="1"/>
      <c r="G77" s="1"/>
      <c r="H77" s="1"/>
      <c r="I77" s="1"/>
      <c r="J77" s="19">
        <f>(D77*D$60)+(E77*E$60)+(F77*F$60)+(G77*G$60)+(H77*H$60)+(I77*I$60)</f>
        <v>55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55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141</v>
      </c>
      <c r="D78" s="12">
        <v>0</v>
      </c>
      <c r="E78" s="10">
        <v>1</v>
      </c>
      <c r="F78" s="10"/>
      <c r="G78" s="10"/>
      <c r="H78" s="10"/>
      <c r="I78" s="10">
        <v>1</v>
      </c>
      <c r="J78" s="11">
        <f>(D78*D$60)+(E78*E$60)+(F78*F$60)+(G78*G$60)+(H78*H$60)+(I78*I$60)</f>
        <v>50</v>
      </c>
      <c r="K78" s="9" t="str">
        <f>IF(D78&gt;=100, 250, IF(D78&gt;=50, 150, IF(D78&gt;=30, 50, "")))</f>
        <v/>
      </c>
      <c r="L78" s="12" t="str">
        <f>IF(E78=5, 200, IF(E78=3, 150, IF(E78=2, 50, "")))</f>
        <v/>
      </c>
      <c r="M78" s="12" t="str">
        <f>IF(H78=3,100,IF(H78=5,200,""))</f>
        <v/>
      </c>
      <c r="N78" s="12"/>
      <c r="O78" s="12"/>
      <c r="P78" s="10"/>
      <c r="Q78" s="10">
        <v>200</v>
      </c>
      <c r="R78" s="13">
        <f>SUM(K78:Q78)</f>
        <v>200</v>
      </c>
      <c r="T78" s="34">
        <f>R78+J78</f>
        <v>250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900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72</v>
      </c>
      <c r="D80" s="23">
        <v>63</v>
      </c>
      <c r="E80" s="6"/>
      <c r="F80" s="6"/>
      <c r="G80" s="6"/>
      <c r="H80" s="6">
        <v>1</v>
      </c>
      <c r="I80" s="6"/>
      <c r="J80" s="7">
        <f>(D80*D$60)+(E80*E$60)+(F80*F$60)+(G80*G$60)+(H80*H$60)+(I80*I$60)</f>
        <v>365</v>
      </c>
      <c r="K80" s="5">
        <f>IF(D80&gt;=100, 250, IF(D80&gt;=50, 150, IF(D80&gt;=30, 50, "")))</f>
        <v>150</v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150</v>
      </c>
      <c r="T80" s="33">
        <f>(R80+J80)*2</f>
        <v>1030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26</v>
      </c>
      <c r="D81" s="20"/>
      <c r="E81" s="1">
        <v>2</v>
      </c>
      <c r="F81" s="1"/>
      <c r="G81" s="1"/>
      <c r="H81" s="1"/>
      <c r="I81" s="1"/>
      <c r="J81" s="19">
        <f>(D81*D$60)+(E81*E$60)+(F81*F$60)+(G81*G$60)+(H81*H$60)+(I81*I$60)</f>
        <v>200</v>
      </c>
      <c r="K81" s="43" t="str">
        <f>IF(D81&gt;=100, 250, IF(D81&gt;=50, 150, IF(D81&gt;=30, 50, "")))</f>
        <v/>
      </c>
      <c r="L81" s="20">
        <f>IF(E81=5, 200, IF(E81=3, 150, IF(E81=2, 50, "")))</f>
        <v>50</v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50</v>
      </c>
      <c r="T81" s="14">
        <f>R81+J81</f>
        <v>250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139</v>
      </c>
      <c r="D82" s="20">
        <v>4</v>
      </c>
      <c r="E82" s="1">
        <v>4</v>
      </c>
      <c r="F82" s="1"/>
      <c r="G82" s="1"/>
      <c r="H82" s="1"/>
      <c r="I82" s="1"/>
      <c r="J82" s="19">
        <f>(D82*D$60)+(E82*E$60)+(F82*F$60)+(G82*G$60)+(H82*H$60)+(I82*I$60)</f>
        <v>420</v>
      </c>
      <c r="K82" s="43" t="str">
        <f>IF(D82&gt;=100, 250, IF(D82&gt;=50, 150, IF(D82&gt;=30, 50, "")))</f>
        <v/>
      </c>
      <c r="L82" s="20">
        <v>150</v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150</v>
      </c>
      <c r="T82" s="14">
        <f>R82+J82</f>
        <v>570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109</v>
      </c>
      <c r="D83" s="20">
        <v>3</v>
      </c>
      <c r="E83" s="1"/>
      <c r="F83" s="1"/>
      <c r="G83" s="1"/>
      <c r="H83" s="1">
        <v>1</v>
      </c>
      <c r="I83" s="1"/>
      <c r="J83" s="19">
        <f>(D83*D$60)+(E83*E$60)+(F83*F$60)+(G83*G$60)+(H83*H$60)+(I83*I$60)</f>
        <v>65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65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77</v>
      </c>
      <c r="D84" s="12"/>
      <c r="E84" s="10">
        <v>2</v>
      </c>
      <c r="F84" s="10">
        <v>2</v>
      </c>
      <c r="G84" s="10"/>
      <c r="H84" s="10"/>
      <c r="I84" s="10"/>
      <c r="J84" s="11">
        <f>(D84*D$60)+(E84*E$60)+(F84*F$60)+(G84*G$60)+(H84*H$60)+(I84*I$60)</f>
        <v>300</v>
      </c>
      <c r="K84" s="9" t="str">
        <f>IF(D84&gt;=100, 250, IF(D84&gt;=50, 150, IF(D84&gt;=30, 50, "")))</f>
        <v/>
      </c>
      <c r="L84" s="12">
        <f>IF(E84=5, 200, IF(E84=3, 150, IF(E84=2, 50, "")))</f>
        <v>50</v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50</v>
      </c>
      <c r="T84" s="34">
        <f>R84+J84</f>
        <v>350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2265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AI85"/>
  <sheetViews>
    <sheetView zoomScaleNormal="100" workbookViewId="0">
      <selection activeCell="Z38" sqref="Z38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0" width="8.88671875" style="3"/>
    <col min="31" max="31" width="10.109375" style="3" bestFit="1" customWidth="1"/>
    <col min="32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35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5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5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5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5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5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5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5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5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5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5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5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  <c r="AE28" s="36"/>
      <c r="AF28" s="36" t="s">
        <v>95</v>
      </c>
      <c r="AG28" s="35" t="s">
        <v>96</v>
      </c>
      <c r="AH28" s="35" t="s">
        <v>97</v>
      </c>
      <c r="AI28" s="35" t="s">
        <v>98</v>
      </c>
    </row>
    <row r="29" spans="2:35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-3100</v>
      </c>
      <c r="Y29" s="42">
        <f>SUM(Y30:Y37)</f>
        <v>-1010</v>
      </c>
      <c r="Z29" s="42">
        <f>SUM(Z30:Z37)</f>
        <v>-1060</v>
      </c>
      <c r="AA29" s="42">
        <f>SUM(AA30:AA37)</f>
        <v>5170</v>
      </c>
      <c r="AE29" s="42" t="s">
        <v>165</v>
      </c>
      <c r="AF29" s="42">
        <v>-4745</v>
      </c>
      <c r="AG29" s="42">
        <v>2405</v>
      </c>
      <c r="AH29" s="42">
        <v>10275</v>
      </c>
      <c r="AI29" s="42">
        <v>-7935</v>
      </c>
    </row>
    <row r="30" spans="2:35" x14ac:dyDescent="0.3">
      <c r="B30" s="66" t="s">
        <v>95</v>
      </c>
      <c r="C30" s="38" t="s">
        <v>38</v>
      </c>
      <c r="D30" s="5">
        <v>2</v>
      </c>
      <c r="E30" s="6"/>
      <c r="F30" s="6"/>
      <c r="G30" s="6"/>
      <c r="H30" s="6"/>
      <c r="I30" s="6"/>
      <c r="J30" s="7">
        <f>(D30*D$60)+(E30*E$60)+(F30*F$60)+(G30*G$60)+(H30*H$60)+(I30*I$60)</f>
        <v>10</v>
      </c>
      <c r="K30" s="15" t="str">
        <f>IF(D30&gt;=100, 250, IF(D30&gt;=50, 150, IF(D30&gt;=30, 50, "")))</f>
        <v/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0</v>
      </c>
      <c r="T30" s="14">
        <f>(R30+J30)*2</f>
        <v>20</v>
      </c>
      <c r="V30" s="28">
        <v>1</v>
      </c>
      <c r="W30" s="29">
        <v>45745</v>
      </c>
      <c r="X30" s="28">
        <v>1625</v>
      </c>
      <c r="Y30" s="28">
        <v>-605</v>
      </c>
      <c r="Z30" s="28">
        <v>-855</v>
      </c>
      <c r="AA30" s="28">
        <v>-165</v>
      </c>
    </row>
    <row r="31" spans="2:35" x14ac:dyDescent="0.3">
      <c r="B31" s="67"/>
      <c r="C31" s="4" t="s">
        <v>191</v>
      </c>
      <c r="D31" s="18"/>
      <c r="E31" s="1">
        <v>1</v>
      </c>
      <c r="F31" s="1"/>
      <c r="G31" s="1"/>
      <c r="H31" s="1"/>
      <c r="I31" s="1"/>
      <c r="J31" s="19">
        <f>(D31*D$60)+(E31*E$60)+(F31*F$60)+(G31*G$60)+(H31*H$60)+(I31*I$60)</f>
        <v>100</v>
      </c>
      <c r="K31" s="15" t="str">
        <f>IF(D31&gt;=100, 250, IF(D31&gt;=50, 150, IF(D31&gt;=30, 50, "")))</f>
        <v/>
      </c>
      <c r="L31" s="20" t="str">
        <f>IF(E31=5, 200, IF(E31=3, 150, IF(E31=2, 50, "")))</f>
        <v/>
      </c>
      <c r="M31" s="20" t="str">
        <f>IF(H31=3,100,IF(H31=5,200,""))</f>
        <v/>
      </c>
      <c r="N31" s="20"/>
      <c r="O31" s="20"/>
      <c r="P31" s="1"/>
      <c r="Q31" s="1"/>
      <c r="R31" s="17">
        <f>SUM(K31:Q31)</f>
        <v>0</v>
      </c>
      <c r="T31" s="14">
        <f>R31+J31</f>
        <v>100</v>
      </c>
      <c r="V31" s="28">
        <v>2</v>
      </c>
      <c r="W31" s="44">
        <v>45746</v>
      </c>
      <c r="X31" s="45">
        <v>-770</v>
      </c>
      <c r="Y31" s="45">
        <v>-905</v>
      </c>
      <c r="Z31" s="45">
        <v>-1265</v>
      </c>
      <c r="AA31" s="45">
        <v>2940</v>
      </c>
    </row>
    <row r="32" spans="2:35" x14ac:dyDescent="0.3">
      <c r="B32" s="67"/>
      <c r="C32" s="4" t="s">
        <v>117</v>
      </c>
      <c r="D32" s="18">
        <v>3</v>
      </c>
      <c r="E32" s="1"/>
      <c r="F32" s="1"/>
      <c r="G32" s="1"/>
      <c r="H32" s="1"/>
      <c r="I32" s="1"/>
      <c r="J32" s="19">
        <f>(D32*D$60)+(E32*E$60)+(F32*F$60)+(G32*G$60)+(H32*H$60)+(I32*I$60)</f>
        <v>15</v>
      </c>
      <c r="K32" s="15" t="str">
        <f>IF(D32&gt;=100, 250, IF(D32&gt;=50, 150, IF(D32&gt;=30, 50, "")))</f>
        <v/>
      </c>
      <c r="L32" s="20" t="str">
        <f>IF(E32=5, 200, IF(E32=3, 150, IF(E32=2, 50, "")))</f>
        <v/>
      </c>
      <c r="M32" s="20" t="str">
        <f>IF(H32=3,100,IF(H32=5,200,""))</f>
        <v/>
      </c>
      <c r="N32" s="20"/>
      <c r="O32" s="20"/>
      <c r="P32" s="1"/>
      <c r="Q32" s="1"/>
      <c r="R32" s="17">
        <f>SUM(K32:Q32)</f>
        <v>0</v>
      </c>
      <c r="T32" s="14">
        <f>R32+J32</f>
        <v>15</v>
      </c>
      <c r="V32" s="28">
        <v>3</v>
      </c>
      <c r="W32" s="44">
        <v>45746</v>
      </c>
      <c r="X32" s="45">
        <v>-1065</v>
      </c>
      <c r="Y32" s="45">
        <v>-1505</v>
      </c>
      <c r="Z32" s="45">
        <v>-1365</v>
      </c>
      <c r="AA32" s="45">
        <v>3935</v>
      </c>
    </row>
    <row r="33" spans="2:27" x14ac:dyDescent="0.3">
      <c r="B33" s="67"/>
      <c r="C33" s="4" t="s">
        <v>24</v>
      </c>
      <c r="D33" s="18">
        <v>19</v>
      </c>
      <c r="E33" s="1"/>
      <c r="F33" s="1"/>
      <c r="G33" s="1"/>
      <c r="H33" s="1"/>
      <c r="I33" s="1"/>
      <c r="J33" s="19">
        <f>(D33*D$60)+(E33*E$60)+(F33*F$60)+(G33*G$60)+(H33*H$60)+(I33*I$60)</f>
        <v>95</v>
      </c>
      <c r="K33" s="15" t="str">
        <f>IF(D33&gt;=100, 250, IF(D33&gt;=50, 150, IF(D33&gt;=30, 50, "")))</f>
        <v/>
      </c>
      <c r="L33" s="20" t="str">
        <f>IF(E33=5, 200, IF(E33=3, 150, IF(E33=2, 50, "")))</f>
        <v/>
      </c>
      <c r="M33" s="20" t="str">
        <f>IF(H33=3,100,IF(H33=5,200,""))</f>
        <v/>
      </c>
      <c r="N33" s="20"/>
      <c r="O33" s="20"/>
      <c r="P33" s="1"/>
      <c r="Q33" s="1"/>
      <c r="R33" s="17">
        <f>SUM(K33:Q33)</f>
        <v>0</v>
      </c>
      <c r="T33" s="14">
        <f>R33+J33</f>
        <v>95</v>
      </c>
      <c r="V33" s="28">
        <v>4</v>
      </c>
      <c r="W33" s="44">
        <v>45747</v>
      </c>
      <c r="X33" s="45">
        <v>-1615</v>
      </c>
      <c r="Y33" s="45">
        <v>-650</v>
      </c>
      <c r="Z33" s="45">
        <v>3780</v>
      </c>
      <c r="AA33" s="45">
        <v>-1515</v>
      </c>
    </row>
    <row r="34" spans="2:27" ht="15" thickBot="1" x14ac:dyDescent="0.35">
      <c r="B34" s="68"/>
      <c r="C34" s="21" t="s">
        <v>117</v>
      </c>
      <c r="D34" s="9"/>
      <c r="E34" s="10"/>
      <c r="F34" s="10"/>
      <c r="G34" s="10"/>
      <c r="H34" s="10">
        <v>1</v>
      </c>
      <c r="I34" s="10"/>
      <c r="J34" s="11">
        <f>(D34*D$60)+(E34*E$60)+(F34*F$60)+(G34*G$60)+(H34*H$60)+(I34*I$60)</f>
        <v>50</v>
      </c>
      <c r="K34" s="12" t="str">
        <f>IF(D34&gt;=100, 250, IF(D34&gt;=50, 150, IF(D34&gt;=30, 50, "")))</f>
        <v/>
      </c>
      <c r="L34" s="12" t="str">
        <f>IF(E34=5, 200, IF(E34=3, 150, IF(E34=2, 50, "")))</f>
        <v/>
      </c>
      <c r="M34" s="12" t="str">
        <f>IF(H34=3,100,IF(H34=5,200,""))</f>
        <v/>
      </c>
      <c r="N34" s="12"/>
      <c r="O34" s="12"/>
      <c r="P34" s="10"/>
      <c r="Q34" s="10"/>
      <c r="R34" s="13">
        <f>SUM(K34:Q34)</f>
        <v>0</v>
      </c>
      <c r="T34" s="22">
        <f>(R34+J34)</f>
        <v>50</v>
      </c>
      <c r="V34" s="28">
        <v>5</v>
      </c>
      <c r="W34" s="29">
        <v>45748</v>
      </c>
      <c r="X34" s="28">
        <f>T35-T41</f>
        <v>-1275</v>
      </c>
      <c r="Y34" s="28">
        <f>-(X34+Z34+AA34)</f>
        <v>2655</v>
      </c>
      <c r="Z34" s="28">
        <f>T47-T41</f>
        <v>-1355</v>
      </c>
      <c r="AA34" s="28">
        <f>T53-T41</f>
        <v>-25</v>
      </c>
    </row>
    <row r="35" spans="2:27" ht="15" thickBot="1" x14ac:dyDescent="0.35">
      <c r="T35" s="37">
        <f>SUM(T30:T34)</f>
        <v>280</v>
      </c>
      <c r="V35" s="28">
        <v>6</v>
      </c>
      <c r="W35" s="29"/>
      <c r="X35" s="28"/>
      <c r="Y35" s="28"/>
      <c r="Z35" s="28"/>
      <c r="AA35" s="28"/>
    </row>
    <row r="36" spans="2:27" x14ac:dyDescent="0.3">
      <c r="B36" s="66" t="s">
        <v>96</v>
      </c>
      <c r="C36" s="39" t="s">
        <v>129</v>
      </c>
      <c r="D36" s="23">
        <v>52</v>
      </c>
      <c r="E36" s="6"/>
      <c r="F36" s="6"/>
      <c r="G36" s="6"/>
      <c r="H36" s="6"/>
      <c r="I36" s="6"/>
      <c r="J36" s="7">
        <f>(D36*D$60)+(E36*E$60)+(F36*F$60)+(G36*G$60)+(H36*H$60)+(I36*I$60)</f>
        <v>260</v>
      </c>
      <c r="K36" s="5">
        <f>IF(D36&gt;=100, 250, IF(D36&gt;=50, 150, IF(D36&gt;=30, 50, "")))</f>
        <v>150</v>
      </c>
      <c r="L36" s="23" t="str">
        <f>IF(E36=5, 200, IF(E36=3, 150, IF(E36=2, 50, "")))</f>
        <v/>
      </c>
      <c r="M36" s="23" t="str">
        <f>IF(H36=3,100,IF(H36=5,200,""))</f>
        <v/>
      </c>
      <c r="N36" s="23"/>
      <c r="O36" s="23"/>
      <c r="P36" s="6"/>
      <c r="Q36" s="6"/>
      <c r="R36" s="24">
        <f>SUM(K36:Q36)</f>
        <v>150</v>
      </c>
      <c r="T36" s="33">
        <f>(R36+J36)*2</f>
        <v>820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116</v>
      </c>
      <c r="D37" s="20">
        <v>28</v>
      </c>
      <c r="E37" s="1"/>
      <c r="F37" s="1"/>
      <c r="G37" s="1"/>
      <c r="H37" s="1"/>
      <c r="I37" s="1"/>
      <c r="J37" s="19">
        <f>(D37*D$60)+(E37*E$60)+(F37*F$60)+(G37*G$60)+(H37*H$60)+(I37*I$60)</f>
        <v>140</v>
      </c>
      <c r="K37" s="43" t="str">
        <f>IF(D37&gt;=100, 250, IF(D37&gt;=50, 150, IF(D37&gt;=30, 50, "")))</f>
        <v/>
      </c>
      <c r="L37" s="20" t="str">
        <f>IF(E37=5, 200, IF(E37=3, 150, IF(E37=2, 50, "")))</f>
        <v/>
      </c>
      <c r="M37" s="20" t="str">
        <f>IF(H37=3,100,IF(H37=5,200,""))</f>
        <v/>
      </c>
      <c r="N37" s="20"/>
      <c r="O37" s="20"/>
      <c r="P37" s="1"/>
      <c r="Q37" s="1"/>
      <c r="R37" s="17">
        <f>SUM(K37:Q37)</f>
        <v>0</v>
      </c>
      <c r="T37" s="14">
        <f>R37+J37</f>
        <v>140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134</v>
      </c>
      <c r="D38" s="20">
        <v>69</v>
      </c>
      <c r="E38" s="1"/>
      <c r="F38" s="1"/>
      <c r="G38" s="1"/>
      <c r="H38" s="1">
        <v>1</v>
      </c>
      <c r="I38" s="1"/>
      <c r="J38" s="19">
        <f>(D38*D$60)+(E38*E$60)+(F38*F$60)+(G38*G$60)+(H38*H$60)+(I38*I$60)</f>
        <v>395</v>
      </c>
      <c r="K38" s="43">
        <f>IF(D38&gt;=100, 250, IF(D38&gt;=50, 150, IF(D38&gt;=30, 50, "")))</f>
        <v>150</v>
      </c>
      <c r="L38" s="20" t="str">
        <f>IF(E38=5, 200, IF(E38=3, 150, IF(E38=2, 50, "")))</f>
        <v/>
      </c>
      <c r="M38" s="20" t="str">
        <f>IF(H38=3,100,IF(H38=5,200,""))</f>
        <v/>
      </c>
      <c r="N38" s="20"/>
      <c r="O38" s="20"/>
      <c r="P38" s="1"/>
      <c r="Q38" s="1"/>
      <c r="R38" s="17">
        <f>SUM(K38:Q38)</f>
        <v>150</v>
      </c>
      <c r="T38" s="14">
        <f>R38+J38</f>
        <v>545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54</v>
      </c>
      <c r="D39" s="20"/>
      <c r="E39" s="1"/>
      <c r="F39" s="1"/>
      <c r="G39" s="1"/>
      <c r="H39" s="1">
        <v>1</v>
      </c>
      <c r="I39" s="1"/>
      <c r="J39" s="19">
        <f>(D39*D$60)+(E39*E$60)+(F39*F$60)+(G39*G$60)+(H39*H$60)+(I39*I$60)</f>
        <v>50</v>
      </c>
      <c r="K39" s="43" t="str">
        <f>IF(D39&gt;=100, 250, IF(D39&gt;=50, 150, IF(D39&gt;=30, 50, "")))</f>
        <v/>
      </c>
      <c r="L39" s="20" t="str">
        <f>IF(E39=5, 200, IF(E39=3, 150, IF(E39=2, 50, "")))</f>
        <v/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0</v>
      </c>
      <c r="T39" s="14">
        <f>R39+J39</f>
        <v>50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192</v>
      </c>
      <c r="D40" s="12"/>
      <c r="E40" s="10"/>
      <c r="F40" s="10"/>
      <c r="G40" s="10"/>
      <c r="H40" s="10"/>
      <c r="I40" s="10"/>
      <c r="J40" s="11">
        <f>(D40*D$60)+(E40*E$60)+(F40*F$60)+(G40*G$60)+(H40*H$60)+(I40*I$60)</f>
        <v>0</v>
      </c>
      <c r="K40" s="9" t="str">
        <f>IF(D40&gt;=100, 250, IF(D40&gt;=50, 150, IF(D40&gt;=30, 50, "")))</f>
        <v/>
      </c>
      <c r="L40" s="12" t="str">
        <f>IF(E40=5, 200, IF(E40=3, 150, IF(E40=2, 50, "")))</f>
        <v/>
      </c>
      <c r="M40" s="12" t="str">
        <f>IF(H40=3,100,IF(H40=5,200,""))</f>
        <v/>
      </c>
      <c r="N40" s="12"/>
      <c r="O40" s="12"/>
      <c r="P40" s="10"/>
      <c r="Q40" s="10"/>
      <c r="R40" s="13">
        <f>SUM(K40:Q40)</f>
        <v>0</v>
      </c>
      <c r="T40" s="34">
        <f>R40+J40</f>
        <v>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1555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193</v>
      </c>
      <c r="D42" s="23">
        <v>0</v>
      </c>
      <c r="E42" s="6"/>
      <c r="F42" s="6"/>
      <c r="G42" s="6"/>
      <c r="H42" s="6"/>
      <c r="I42" s="6">
        <v>1</v>
      </c>
      <c r="J42" s="7">
        <f>(D42*D$60)+(E42*E$60)+(F42*F$60)+(G42*G$60)+(H42*H$60)+(I42*I$60)</f>
        <v>-50</v>
      </c>
      <c r="K42" s="5" t="str">
        <f>IF(D42&gt;=100, 250, IF(D42&gt;=50, 150, IF(D42&gt;=30, 50, "")))</f>
        <v/>
      </c>
      <c r="L42" s="23" t="str">
        <f>IF(E42=5, 200, IF(E42=3, 150, IF(E42=2, 50, "")))</f>
        <v/>
      </c>
      <c r="M42" s="23" t="str">
        <f>IF(H42=3,100,IF(H42=5,200,""))</f>
        <v/>
      </c>
      <c r="N42" s="23"/>
      <c r="O42" s="23"/>
      <c r="P42" s="6"/>
      <c r="Q42" s="6"/>
      <c r="R42" s="24">
        <f>SUM(K42:Q42)</f>
        <v>0</v>
      </c>
      <c r="T42" s="33">
        <f>(R42+J42)*2</f>
        <v>-100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126</v>
      </c>
      <c r="D43" s="20"/>
      <c r="E43" s="1"/>
      <c r="F43" s="1"/>
      <c r="G43" s="1"/>
      <c r="H43" s="1"/>
      <c r="I43" s="1"/>
      <c r="J43" s="19">
        <f>(D43*D$60)+(E43*E$60)+(F43*F$60)+(G43*G$60)+(H43*H$60)+(I43*I$60)</f>
        <v>0</v>
      </c>
      <c r="K43" s="43" t="str">
        <f>IF(D43&gt;=100, 250, IF(D43&gt;=50, 150, IF(D43&gt;=30, 50, "")))</f>
        <v/>
      </c>
      <c r="L43" s="20" t="str">
        <f>IF(E43=5, 200, IF(E43=3, 150, IF(E43=2, 50, "")))</f>
        <v/>
      </c>
      <c r="M43" s="20" t="str">
        <f>IF(H43=3,100,IF(H43=5,200,""))</f>
        <v/>
      </c>
      <c r="N43" s="20"/>
      <c r="O43" s="20"/>
      <c r="P43" s="1"/>
      <c r="Q43" s="1"/>
      <c r="R43" s="17">
        <f>SUM(K43:Q43)</f>
        <v>0</v>
      </c>
      <c r="T43" s="14">
        <f>R43+J43</f>
        <v>0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123</v>
      </c>
      <c r="D44" s="20"/>
      <c r="E44" s="1">
        <v>1</v>
      </c>
      <c r="F44" s="1"/>
      <c r="G44" s="1"/>
      <c r="H44" s="1">
        <v>1</v>
      </c>
      <c r="I44" s="1"/>
      <c r="J44" s="19">
        <f>(D44*D$60)+(E44*E$60)+(F44*F$60)+(G44*G$60)+(H44*H$60)+(I44*I$60)</f>
        <v>150</v>
      </c>
      <c r="K44" s="43" t="str">
        <f>IF(D44&gt;=100, 250, IF(D44&gt;=50, 150, IF(D44&gt;=30, 50, "")))</f>
        <v/>
      </c>
      <c r="L44" s="20" t="str">
        <f>IF(E44=5, 200, IF(E44=3, 150, IF(E44=2, 50, "")))</f>
        <v/>
      </c>
      <c r="M44" s="20" t="str">
        <f>IF(H44=3,100,IF(H44=5,200,""))</f>
        <v/>
      </c>
      <c r="N44" s="20"/>
      <c r="O44" s="20"/>
      <c r="P44" s="1"/>
      <c r="Q44" s="1"/>
      <c r="R44" s="17">
        <f>SUM(K44:Q44)</f>
        <v>0</v>
      </c>
      <c r="T44" s="14">
        <f>R44+J44</f>
        <v>150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127</v>
      </c>
      <c r="D45" s="20"/>
      <c r="E45" s="1">
        <v>1</v>
      </c>
      <c r="F45" s="1"/>
      <c r="G45" s="1"/>
      <c r="H45" s="1">
        <v>1</v>
      </c>
      <c r="I45" s="1"/>
      <c r="J45" s="19">
        <f>(D45*D$60)+(E45*E$60)+(F45*F$60)+(G45*G$60)+(H45*H$60)+(I45*I$60)</f>
        <v>150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150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148</v>
      </c>
      <c r="D46" s="12"/>
      <c r="E46" s="10"/>
      <c r="F46" s="10"/>
      <c r="G46" s="10"/>
      <c r="H46" s="10"/>
      <c r="I46" s="10"/>
      <c r="J46" s="11">
        <f>(D46*D$60)+(E46*E$60)+(F46*F$60)+(G46*G$60)+(H46*H$60)+(I46*I$60)</f>
        <v>0</v>
      </c>
      <c r="K46" s="9" t="str">
        <f>IF(D46&gt;=100, 250, IF(D46&gt;=50, 150, IF(D46&gt;=30, 50, "")))</f>
        <v/>
      </c>
      <c r="L46" s="12" t="str">
        <f>IF(E46=5, 200, IF(E46=3, 150, IF(E46=2, 50, "")))</f>
        <v/>
      </c>
      <c r="M46" s="12" t="str">
        <f>IF(H46=3,100,IF(H46=5,200,""))</f>
        <v/>
      </c>
      <c r="N46" s="12"/>
      <c r="O46" s="12"/>
      <c r="P46" s="10"/>
      <c r="Q46" s="10"/>
      <c r="R46" s="13">
        <f>SUM(K46:Q46)</f>
        <v>0</v>
      </c>
      <c r="T46" s="34">
        <f>R46+J46</f>
        <v>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200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53</v>
      </c>
      <c r="D48" s="23">
        <v>44</v>
      </c>
      <c r="E48" s="6"/>
      <c r="F48" s="6"/>
      <c r="G48" s="6"/>
      <c r="H48" s="6"/>
      <c r="I48" s="6"/>
      <c r="J48" s="7">
        <f>(D48*D$60)+(E48*E$60)+(F48*F$60)+(G48*G$60)+(H48*H$60)+(I48*I$60)</f>
        <v>220</v>
      </c>
      <c r="K48" s="5">
        <f>IF(D48&gt;=100, 250, IF(D48&gt;=50, 150, IF(D48&gt;=30, 50, "")))</f>
        <v>50</v>
      </c>
      <c r="L48" s="23" t="str">
        <f>IF(E48=5, 200, IF(E48=3, 150, IF(E48=2, 50, "")))</f>
        <v/>
      </c>
      <c r="M48" s="23" t="str">
        <f>IF(H48=3,100,IF(H48=5,200,""))</f>
        <v/>
      </c>
      <c r="N48" s="23"/>
      <c r="O48" s="23"/>
      <c r="P48" s="6"/>
      <c r="Q48" s="6"/>
      <c r="R48" s="24">
        <f>SUM(K48:Q48)</f>
        <v>50</v>
      </c>
      <c r="T48" s="33">
        <f>(R48+J48)*2</f>
        <v>540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130</v>
      </c>
      <c r="D49" s="20"/>
      <c r="E49" s="1">
        <v>1</v>
      </c>
      <c r="F49" s="1"/>
      <c r="G49" s="1"/>
      <c r="H49" s="1">
        <v>2</v>
      </c>
      <c r="I49" s="1"/>
      <c r="J49" s="19">
        <f>(D49*D$60)+(E49*E$60)+(F49*F$60)+(G49*G$60)+(H49*H$60)+(I49*I$60)</f>
        <v>200</v>
      </c>
      <c r="K49" s="43" t="str">
        <f>IF(D49&gt;=100, 250, IF(D49&gt;=50, 150, IF(D49&gt;=30, 50, "")))</f>
        <v/>
      </c>
      <c r="L49" s="20" t="str">
        <f>IF(E49=5, 200, IF(E49=3, 150, IF(E49=2, 50, "")))</f>
        <v/>
      </c>
      <c r="M49" s="20" t="str">
        <f>IF(H49=3,100,IF(H49=5,200,""))</f>
        <v/>
      </c>
      <c r="N49" s="20"/>
      <c r="O49" s="20"/>
      <c r="P49" s="1"/>
      <c r="Q49" s="1"/>
      <c r="R49" s="17">
        <f>SUM(K49:Q49)</f>
        <v>0</v>
      </c>
      <c r="T49" s="14">
        <f>R49+J49</f>
        <v>200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136</v>
      </c>
      <c r="D50" s="20">
        <v>8</v>
      </c>
      <c r="E50" s="1"/>
      <c r="F50" s="1"/>
      <c r="G50" s="1"/>
      <c r="H50" s="1">
        <v>1</v>
      </c>
      <c r="I50" s="1"/>
      <c r="J50" s="19">
        <f>(D50*D$60)+(E50*E$60)+(F50*F$60)+(G50*G$60)+(H50*H$60)+(I50*I$60)</f>
        <v>90</v>
      </c>
      <c r="K50" s="43" t="str">
        <f>IF(D50&gt;=100, 250, IF(D50&gt;=50, 150, IF(D50&gt;=30, 50, "")))</f>
        <v/>
      </c>
      <c r="L50" s="20"/>
      <c r="M50" s="20" t="str">
        <f>IF(H50=3,100,IF(H50=5,200,""))</f>
        <v/>
      </c>
      <c r="N50" s="20"/>
      <c r="O50" s="20"/>
      <c r="P50" s="1"/>
      <c r="Q50" s="1"/>
      <c r="R50" s="17">
        <f>SUM(K50:Q50)</f>
        <v>0</v>
      </c>
      <c r="T50" s="14">
        <f>R50+J50</f>
        <v>90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131</v>
      </c>
      <c r="D51" s="20"/>
      <c r="E51" s="1">
        <v>3</v>
      </c>
      <c r="F51" s="1"/>
      <c r="G51" s="1"/>
      <c r="H51" s="1"/>
      <c r="I51" s="1"/>
      <c r="J51" s="19">
        <f>(D51*D$60)+(E51*E$60)+(F51*F$60)+(G51*G$60)+(H51*H$60)+(I51*I$60)</f>
        <v>300</v>
      </c>
      <c r="K51" s="43" t="str">
        <f>IF(D51&gt;=100, 250, IF(D51&gt;=50, 150, IF(D51&gt;=30, 50, "")))</f>
        <v/>
      </c>
      <c r="L51" s="20">
        <f>IF(E51=5, 200, IF(E51=3, 150, IF(E51=2, 50, "")))</f>
        <v>150</v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150</v>
      </c>
      <c r="T51" s="14">
        <f>R51+J51</f>
        <v>450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194</v>
      </c>
      <c r="D52" s="12"/>
      <c r="E52" s="10">
        <v>2</v>
      </c>
      <c r="F52" s="10"/>
      <c r="G52" s="10"/>
      <c r="H52" s="10"/>
      <c r="I52" s="10"/>
      <c r="J52" s="11">
        <f>(D52*D$60)+(E52*E$60)+(F52*F$60)+(G52*G$60)+(H52*H$60)+(I52*I$60)</f>
        <v>200</v>
      </c>
      <c r="K52" s="9" t="str">
        <f>IF(D52&gt;=100, 250, IF(D52&gt;=50, 150, IF(D52&gt;=30, 50, "")))</f>
        <v/>
      </c>
      <c r="L52" s="12">
        <f>IF(E52=5, 200, IF(E52=3, 150, IF(E52=2, 50, "")))</f>
        <v>50</v>
      </c>
      <c r="M52" s="12" t="str">
        <f>IF(H52=3,100,IF(H52=5,200,""))</f>
        <v/>
      </c>
      <c r="N52" s="12"/>
      <c r="O52" s="12"/>
      <c r="P52" s="10"/>
      <c r="Q52" s="10"/>
      <c r="R52" s="13">
        <f>SUM(K52:Q52)</f>
        <v>50</v>
      </c>
      <c r="T52" s="34">
        <f>R52+J52</f>
        <v>250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1530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SUM(X62:X69)</f>
        <v>-210</v>
      </c>
      <c r="Y61" s="42">
        <f>SUM(Y62:Y69)</f>
        <v>-3015</v>
      </c>
      <c r="Z61" s="42">
        <f>SUM(Z62:Z69)</f>
        <v>-3485</v>
      </c>
      <c r="AA61" s="42">
        <f>SUM(AA62:AA69)</f>
        <v>6710</v>
      </c>
    </row>
    <row r="62" spans="2:27" x14ac:dyDescent="0.3">
      <c r="B62" s="66" t="s">
        <v>95</v>
      </c>
      <c r="C62" s="38" t="s">
        <v>52</v>
      </c>
      <c r="D62" s="5">
        <v>20</v>
      </c>
      <c r="E62" s="6"/>
      <c r="F62" s="6"/>
      <c r="G62" s="6"/>
      <c r="H62" s="6"/>
      <c r="I62" s="6"/>
      <c r="J62" s="7">
        <f>(D62*D$60)+(E62*E$60)+(F62*F$60)+(G62*G$60)+(H62*H$60)+(I62*I$60)</f>
        <v>100</v>
      </c>
      <c r="K62" s="15" t="str">
        <f>IF(D62&gt;=100, 250, IF(D62&gt;=50, 150, IF(D62&gt;=30, 50, "")))</f>
        <v/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0</v>
      </c>
      <c r="T62" s="14">
        <f>(R62+J62)*2</f>
        <v>200</v>
      </c>
      <c r="V62" s="28">
        <v>1</v>
      </c>
      <c r="W62" s="29">
        <v>45745</v>
      </c>
      <c r="X62" s="28">
        <v>1625</v>
      </c>
      <c r="Y62" s="28">
        <v>-605</v>
      </c>
      <c r="Z62" s="28">
        <v>-855</v>
      </c>
      <c r="AA62" s="28">
        <v>-165</v>
      </c>
    </row>
    <row r="63" spans="2:27" x14ac:dyDescent="0.3">
      <c r="B63" s="67"/>
      <c r="C63" s="4" t="s">
        <v>66</v>
      </c>
      <c r="D63" s="18">
        <v>18</v>
      </c>
      <c r="E63" s="1"/>
      <c r="F63" s="1"/>
      <c r="G63" s="1"/>
      <c r="H63" s="1"/>
      <c r="I63" s="1"/>
      <c r="J63" s="19">
        <f>(D63*D$60)+(E63*E$60)+(F63*F$60)+(G63*G$60)+(H63*H$60)+(I63*I$60)</f>
        <v>90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90</v>
      </c>
      <c r="V63" s="28">
        <v>2</v>
      </c>
      <c r="W63" s="44">
        <v>45746</v>
      </c>
      <c r="X63" s="45">
        <v>-770</v>
      </c>
      <c r="Y63" s="45">
        <v>-905</v>
      </c>
      <c r="Z63" s="45">
        <v>-1265</v>
      </c>
      <c r="AA63" s="45">
        <v>2940</v>
      </c>
    </row>
    <row r="64" spans="2:27" x14ac:dyDescent="0.3">
      <c r="B64" s="67"/>
      <c r="C64" s="4" t="s">
        <v>78</v>
      </c>
      <c r="D64" s="18">
        <v>81</v>
      </c>
      <c r="E64" s="1"/>
      <c r="F64" s="1"/>
      <c r="G64" s="1"/>
      <c r="H64" s="1"/>
      <c r="I64" s="1"/>
      <c r="J64" s="19">
        <f>(D64*D$60)+(E64*E$60)+(F64*F$60)+(G64*G$60)+(H64*H$60)+(I64*I$60)</f>
        <v>405</v>
      </c>
      <c r="K64" s="15">
        <f>IF(D64&gt;=100, 250, IF(D64&gt;=50, 150, IF(D64&gt;=30, 50, "")))</f>
        <v>150</v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>
        <v>150</v>
      </c>
      <c r="P64" s="1"/>
      <c r="Q64" s="1"/>
      <c r="R64" s="17">
        <f>SUM(K64:Q64)</f>
        <v>300</v>
      </c>
      <c r="T64" s="14">
        <f>R64+J64</f>
        <v>705</v>
      </c>
      <c r="V64" s="28">
        <v>3</v>
      </c>
      <c r="W64" s="44">
        <v>45746</v>
      </c>
      <c r="X64" s="45">
        <v>-1065</v>
      </c>
      <c r="Y64" s="45">
        <v>-1505</v>
      </c>
      <c r="Z64" s="45">
        <v>-1365</v>
      </c>
      <c r="AA64" s="45">
        <v>3935</v>
      </c>
    </row>
    <row r="65" spans="2:27" x14ac:dyDescent="0.3">
      <c r="B65" s="67"/>
      <c r="C65" s="4" t="s">
        <v>178</v>
      </c>
      <c r="D65" s="18">
        <v>2</v>
      </c>
      <c r="E65" s="1"/>
      <c r="F65" s="1"/>
      <c r="G65" s="1"/>
      <c r="H65" s="1"/>
      <c r="I65" s="1"/>
      <c r="J65" s="19">
        <f>(D65*D$60)+(E65*E$60)+(F65*F$60)+(G65*G$60)+(H65*H$60)+(I65*I$60)</f>
        <v>10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179</v>
      </c>
      <c r="D66" s="9">
        <v>19</v>
      </c>
      <c r="E66" s="10"/>
      <c r="F66" s="10"/>
      <c r="G66" s="10"/>
      <c r="H66" s="10">
        <v>2</v>
      </c>
      <c r="I66" s="10"/>
      <c r="J66" s="11">
        <f>(D66*D$60)+(E66*E$60)+(F66*F$60)+(G66*G$60)+(H66*H$60)+(I66*I$60)</f>
        <v>195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195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1200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180</v>
      </c>
      <c r="D68" s="23">
        <v>4</v>
      </c>
      <c r="E68" s="6"/>
      <c r="F68" s="6"/>
      <c r="G68" s="6"/>
      <c r="H68" s="6">
        <v>1</v>
      </c>
      <c r="I68" s="6"/>
      <c r="J68" s="7">
        <f>(D68*D$60)+(E68*E$60)+(F68*F$60)+(G68*G$60)+(H68*H$60)+(I68*I$60)</f>
        <v>70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140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181</v>
      </c>
      <c r="D69" s="20"/>
      <c r="E69" s="1">
        <v>2</v>
      </c>
      <c r="F69" s="1"/>
      <c r="G69" s="1"/>
      <c r="H69" s="1">
        <v>1</v>
      </c>
      <c r="I69" s="1"/>
      <c r="J69" s="19">
        <f>(D69*D$60)+(E69*E$60)+(F69*F$60)+(G69*G$60)+(H69*H$60)+(I69*I$60)</f>
        <v>250</v>
      </c>
      <c r="K69" s="43" t="str">
        <f>IF(D69&gt;=100, 250, IF(D69&gt;=50, 150, IF(D69&gt;=30, 50, "")))</f>
        <v/>
      </c>
      <c r="L69" s="20">
        <f>IF(E69=5, 200, IF(E69=3, 150, IF(E69=2, 50, "")))</f>
        <v>50</v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300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182</v>
      </c>
      <c r="D70" s="20">
        <v>23</v>
      </c>
      <c r="E70" s="1"/>
      <c r="F70" s="1"/>
      <c r="G70" s="1"/>
      <c r="H70" s="1"/>
      <c r="I70" s="1"/>
      <c r="J70" s="19">
        <f>(D70*D$60)+(E70*E$60)+(F70*F$60)+(G70*G$60)+(H70*H$60)+(I70*I$60)</f>
        <v>115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115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68</v>
      </c>
      <c r="D71" s="20"/>
      <c r="E71" s="1">
        <v>1</v>
      </c>
      <c r="F71" s="1"/>
      <c r="G71" s="1"/>
      <c r="H71" s="1">
        <v>2</v>
      </c>
      <c r="I71" s="1"/>
      <c r="J71" s="19">
        <f>(D71*D$60)+(E71*E$60)+(F71*F$60)+(G71*G$60)+(H71*H$60)+(I71*I$60)</f>
        <v>200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200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80</v>
      </c>
      <c r="D72" s="12">
        <v>1</v>
      </c>
      <c r="E72" s="10"/>
      <c r="F72" s="10"/>
      <c r="G72" s="10"/>
      <c r="H72" s="10"/>
      <c r="I72" s="10"/>
      <c r="J72" s="11">
        <f>(D72*D$60)+(E72*E$60)+(F72*F$60)+(G72*G$60)+(H72*H$60)+(I72*I$60)</f>
        <v>5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5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760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183</v>
      </c>
      <c r="D74" s="23">
        <v>0</v>
      </c>
      <c r="E74" s="6"/>
      <c r="F74" s="6"/>
      <c r="G74" s="6"/>
      <c r="H74" s="6">
        <v>1</v>
      </c>
      <c r="I74" s="6">
        <v>1</v>
      </c>
      <c r="J74" s="7">
        <f>(D74*D$60)+(E74*E$60)+(F74*F$60)+(G74*G$60)+(H74*H$60)+(I74*I$60)</f>
        <v>0</v>
      </c>
      <c r="K74" s="5" t="str">
        <f>IF(D74&gt;=100, 250, IF(D74&gt;=50, 150, IF(D74&gt;=30, 50, "")))</f>
        <v/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0</v>
      </c>
      <c r="T74" s="33">
        <f>(R74+J74)*2</f>
        <v>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61</v>
      </c>
      <c r="D75" s="20">
        <v>37</v>
      </c>
      <c r="E75" s="1"/>
      <c r="F75" s="1"/>
      <c r="G75" s="1"/>
      <c r="H75" s="1">
        <v>1</v>
      </c>
      <c r="I75" s="1"/>
      <c r="J75" s="19">
        <f>(D75*D$60)+(E75*E$60)+(F75*F$60)+(G75*G$60)+(H75*H$60)+(I75*I$60)</f>
        <v>235</v>
      </c>
      <c r="K75" s="43">
        <f>IF(D75&gt;=100, 250, IF(D75&gt;=50, 150, IF(D75&gt;=30, 50, "")))</f>
        <v>50</v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50</v>
      </c>
      <c r="T75" s="14">
        <f>R75+J75</f>
        <v>285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59</v>
      </c>
      <c r="D76" s="20">
        <v>32</v>
      </c>
      <c r="E76" s="1">
        <v>1</v>
      </c>
      <c r="F76" s="1"/>
      <c r="G76" s="1"/>
      <c r="H76" s="1"/>
      <c r="I76" s="1"/>
      <c r="J76" s="19">
        <f>(D76*D$60)+(E76*E$60)+(F76*F$60)+(G76*G$60)+(H76*H$60)+(I76*I$60)</f>
        <v>260</v>
      </c>
      <c r="K76" s="43">
        <f>IF(D76&gt;=100, 250, IF(D76&gt;=50, 150, IF(D76&gt;=30, 50, "")))</f>
        <v>50</v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50</v>
      </c>
      <c r="T76" s="14">
        <f>R76+J76</f>
        <v>310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184</v>
      </c>
      <c r="D77" s="20">
        <v>11</v>
      </c>
      <c r="E77" s="1"/>
      <c r="F77" s="1"/>
      <c r="G77" s="1"/>
      <c r="H77" s="1"/>
      <c r="I77" s="1"/>
      <c r="J77" s="19">
        <f>(D77*D$60)+(E77*E$60)+(F77*F$60)+(G77*G$60)+(H77*H$60)+(I77*I$60)</f>
        <v>55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55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141</v>
      </c>
      <c r="D78" s="12">
        <v>0</v>
      </c>
      <c r="E78" s="10">
        <v>1</v>
      </c>
      <c r="F78" s="10"/>
      <c r="G78" s="10"/>
      <c r="H78" s="10"/>
      <c r="I78" s="10">
        <v>1</v>
      </c>
      <c r="J78" s="11">
        <f>(D78*D$60)+(E78*E$60)+(F78*F$60)+(G78*G$60)+(H78*H$60)+(I78*I$60)</f>
        <v>50</v>
      </c>
      <c r="K78" s="9" t="str">
        <f>IF(D78&gt;=100, 250, IF(D78&gt;=50, 150, IF(D78&gt;=30, 50, "")))</f>
        <v/>
      </c>
      <c r="L78" s="12" t="str">
        <f>IF(E78=5, 200, IF(E78=3, 150, IF(E78=2, 50, "")))</f>
        <v/>
      </c>
      <c r="M78" s="12" t="str">
        <f>IF(H78=3,100,IF(H78=5,200,""))</f>
        <v/>
      </c>
      <c r="N78" s="12"/>
      <c r="O78" s="12"/>
      <c r="P78" s="10"/>
      <c r="Q78" s="10">
        <v>200</v>
      </c>
      <c r="R78" s="13">
        <f>SUM(K78:Q78)</f>
        <v>200</v>
      </c>
      <c r="T78" s="34">
        <f>R78+J78</f>
        <v>250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900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72</v>
      </c>
      <c r="D80" s="23">
        <v>63</v>
      </c>
      <c r="E80" s="6"/>
      <c r="F80" s="6"/>
      <c r="G80" s="6"/>
      <c r="H80" s="6">
        <v>1</v>
      </c>
      <c r="I80" s="6"/>
      <c r="J80" s="7">
        <f>(D80*D$60)+(E80*E$60)+(F80*F$60)+(G80*G$60)+(H80*H$60)+(I80*I$60)</f>
        <v>365</v>
      </c>
      <c r="K80" s="5">
        <f>IF(D80&gt;=100, 250, IF(D80&gt;=50, 150, IF(D80&gt;=30, 50, "")))</f>
        <v>150</v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150</v>
      </c>
      <c r="T80" s="33">
        <f>(R80+J80)*2</f>
        <v>1030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26</v>
      </c>
      <c r="D81" s="20"/>
      <c r="E81" s="1">
        <v>2</v>
      </c>
      <c r="F81" s="1"/>
      <c r="G81" s="1"/>
      <c r="H81" s="1"/>
      <c r="I81" s="1"/>
      <c r="J81" s="19">
        <f>(D81*D$60)+(E81*E$60)+(F81*F$60)+(G81*G$60)+(H81*H$60)+(I81*I$60)</f>
        <v>200</v>
      </c>
      <c r="K81" s="43" t="str">
        <f>IF(D81&gt;=100, 250, IF(D81&gt;=50, 150, IF(D81&gt;=30, 50, "")))</f>
        <v/>
      </c>
      <c r="L81" s="20">
        <f>IF(E81=5, 200, IF(E81=3, 150, IF(E81=2, 50, "")))</f>
        <v>50</v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50</v>
      </c>
      <c r="T81" s="14">
        <f>R81+J81</f>
        <v>250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139</v>
      </c>
      <c r="D82" s="20">
        <v>4</v>
      </c>
      <c r="E82" s="1">
        <v>4</v>
      </c>
      <c r="F82" s="1"/>
      <c r="G82" s="1"/>
      <c r="H82" s="1"/>
      <c r="I82" s="1"/>
      <c r="J82" s="19">
        <f>(D82*D$60)+(E82*E$60)+(F82*F$60)+(G82*G$60)+(H82*H$60)+(I82*I$60)</f>
        <v>420</v>
      </c>
      <c r="K82" s="43" t="str">
        <f>IF(D82&gt;=100, 250, IF(D82&gt;=50, 150, IF(D82&gt;=30, 50, "")))</f>
        <v/>
      </c>
      <c r="L82" s="20">
        <v>150</v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150</v>
      </c>
      <c r="T82" s="14">
        <f>R82+J82</f>
        <v>570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109</v>
      </c>
      <c r="D83" s="20">
        <v>3</v>
      </c>
      <c r="E83" s="1"/>
      <c r="F83" s="1"/>
      <c r="G83" s="1"/>
      <c r="H83" s="1">
        <v>1</v>
      </c>
      <c r="I83" s="1"/>
      <c r="J83" s="19">
        <f>(D83*D$60)+(E83*E$60)+(F83*F$60)+(G83*G$60)+(H83*H$60)+(I83*I$60)</f>
        <v>65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65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77</v>
      </c>
      <c r="D84" s="12"/>
      <c r="E84" s="10">
        <v>2</v>
      </c>
      <c r="F84" s="10">
        <v>2</v>
      </c>
      <c r="G84" s="10"/>
      <c r="H84" s="10"/>
      <c r="I84" s="10"/>
      <c r="J84" s="11">
        <f>(D84*D$60)+(E84*E$60)+(F84*F$60)+(G84*G$60)+(H84*H$60)+(I84*I$60)</f>
        <v>300</v>
      </c>
      <c r="K84" s="9" t="str">
        <f>IF(D84&gt;=100, 250, IF(D84&gt;=50, 150, IF(D84&gt;=30, 50, "")))</f>
        <v/>
      </c>
      <c r="L84" s="12">
        <f>IF(E84=5, 200, IF(E84=3, 150, IF(E84=2, 50, "")))</f>
        <v>50</v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50</v>
      </c>
      <c r="T84" s="34">
        <f>R84+J84</f>
        <v>350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2265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AI85"/>
  <sheetViews>
    <sheetView topLeftCell="A3" zoomScaleNormal="100" workbookViewId="0">
      <selection activeCell="X35" sqref="X35:AA35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0" width="8.88671875" style="3"/>
    <col min="31" max="31" width="10.109375" style="3" bestFit="1" customWidth="1"/>
    <col min="32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35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5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5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5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5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5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5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5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5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5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5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5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  <c r="AE28" s="36"/>
      <c r="AF28" s="36" t="s">
        <v>95</v>
      </c>
      <c r="AG28" s="35" t="s">
        <v>96</v>
      </c>
      <c r="AH28" s="35" t="s">
        <v>97</v>
      </c>
      <c r="AI28" s="35" t="s">
        <v>98</v>
      </c>
    </row>
    <row r="29" spans="2:35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-4440</v>
      </c>
      <c r="Y29" s="42">
        <f>SUM(Y30:Y37)</f>
        <v>-2370</v>
      </c>
      <c r="Z29" s="42">
        <f>SUM(Z30:Z37)</f>
        <v>3035</v>
      </c>
      <c r="AA29" s="42">
        <f>SUM(AA30:AA37)</f>
        <v>3775</v>
      </c>
      <c r="AE29" s="42" t="s">
        <v>165</v>
      </c>
      <c r="AF29" s="42">
        <v>-4745</v>
      </c>
      <c r="AG29" s="42">
        <v>2405</v>
      </c>
      <c r="AH29" s="42">
        <v>10275</v>
      </c>
      <c r="AI29" s="42">
        <v>-7935</v>
      </c>
    </row>
    <row r="30" spans="2:35" x14ac:dyDescent="0.3">
      <c r="B30" s="66" t="s">
        <v>95</v>
      </c>
      <c r="C30" s="38" t="s">
        <v>46</v>
      </c>
      <c r="D30" s="5">
        <v>14</v>
      </c>
      <c r="E30" s="6"/>
      <c r="F30" s="6"/>
      <c r="G30" s="6"/>
      <c r="H30" s="6"/>
      <c r="I30" s="6"/>
      <c r="J30" s="7">
        <f>(D30*D$60)+(E30*E$60)+(F30*F$60)+(G30*G$60)+(H30*H$60)+(I30*I$60)</f>
        <v>70</v>
      </c>
      <c r="K30" s="15" t="str">
        <f>IF(D30&gt;=100, 250, IF(D30&gt;=50, 150, IF(D30&gt;=30, 50, "")))</f>
        <v/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0</v>
      </c>
      <c r="T30" s="14">
        <f>(R30+J30)*2</f>
        <v>140</v>
      </c>
      <c r="V30" s="28">
        <v>1</v>
      </c>
      <c r="W30" s="29">
        <v>45745</v>
      </c>
      <c r="X30" s="28">
        <v>1625</v>
      </c>
      <c r="Y30" s="28">
        <v>-605</v>
      </c>
      <c r="Z30" s="28">
        <v>-855</v>
      </c>
      <c r="AA30" s="28">
        <v>-165</v>
      </c>
    </row>
    <row r="31" spans="2:35" x14ac:dyDescent="0.3">
      <c r="B31" s="67"/>
      <c r="C31" s="4" t="s">
        <v>100</v>
      </c>
      <c r="D31" s="18"/>
      <c r="E31" s="1">
        <v>1</v>
      </c>
      <c r="F31" s="1"/>
      <c r="G31" s="1"/>
      <c r="H31" s="1"/>
      <c r="I31" s="1"/>
      <c r="J31" s="19">
        <f>(D31*D$60)+(E31*E$60)+(F31*F$60)+(G31*G$60)+(H31*H$60)+(I31*I$60)</f>
        <v>100</v>
      </c>
      <c r="K31" s="15" t="str">
        <f>IF(D31&gt;=100, 250, IF(D31&gt;=50, 150, IF(D31&gt;=30, 50, "")))</f>
        <v/>
      </c>
      <c r="L31" s="20" t="str">
        <f>IF(E31=5, 200, IF(E31=3, 150, IF(E31=2, 50, "")))</f>
        <v/>
      </c>
      <c r="M31" s="20" t="str">
        <f>IF(H31=3,100,IF(H31=5,200,""))</f>
        <v/>
      </c>
      <c r="N31" s="20"/>
      <c r="O31" s="20"/>
      <c r="P31" s="1"/>
      <c r="Q31" s="1"/>
      <c r="R31" s="17">
        <f>SUM(K31:Q31)</f>
        <v>0</v>
      </c>
      <c r="T31" s="14">
        <f>R31+J31</f>
        <v>100</v>
      </c>
      <c r="V31" s="28">
        <v>2</v>
      </c>
      <c r="W31" s="44">
        <v>45746</v>
      </c>
      <c r="X31" s="45">
        <v>-770</v>
      </c>
      <c r="Y31" s="45">
        <v>-905</v>
      </c>
      <c r="Z31" s="45">
        <v>-1265</v>
      </c>
      <c r="AA31" s="45">
        <v>2940</v>
      </c>
    </row>
    <row r="32" spans="2:35" x14ac:dyDescent="0.3">
      <c r="B32" s="67"/>
      <c r="C32" s="4" t="s">
        <v>195</v>
      </c>
      <c r="D32" s="18"/>
      <c r="E32" s="1">
        <v>1</v>
      </c>
      <c r="F32" s="1"/>
      <c r="G32" s="1"/>
      <c r="H32" s="1">
        <v>1</v>
      </c>
      <c r="I32" s="1"/>
      <c r="J32" s="19">
        <f>(D32*D$60)+(E32*E$60)+(F32*F$60)+(G32*G$60)+(H32*H$60)+(I32*I$60)</f>
        <v>150</v>
      </c>
      <c r="K32" s="15" t="str">
        <f>IF(D32&gt;=100, 250, IF(D32&gt;=50, 150, IF(D32&gt;=30, 50, "")))</f>
        <v/>
      </c>
      <c r="L32" s="20" t="str">
        <f>IF(E32=5, 200, IF(E32=3, 150, IF(E32=2, 50, "")))</f>
        <v/>
      </c>
      <c r="M32" s="20" t="str">
        <f>IF(H32=3,100,IF(H32=5,200,""))</f>
        <v/>
      </c>
      <c r="N32" s="20"/>
      <c r="O32" s="20"/>
      <c r="P32" s="1"/>
      <c r="Q32" s="1"/>
      <c r="R32" s="17">
        <f>SUM(K32:Q32)</f>
        <v>0</v>
      </c>
      <c r="T32" s="14">
        <f>R32+J32</f>
        <v>150</v>
      </c>
      <c r="V32" s="28">
        <v>3</v>
      </c>
      <c r="W32" s="44">
        <v>45746</v>
      </c>
      <c r="X32" s="45">
        <v>-1065</v>
      </c>
      <c r="Y32" s="45">
        <v>-1505</v>
      </c>
      <c r="Z32" s="45">
        <v>-1365</v>
      </c>
      <c r="AA32" s="45">
        <v>3935</v>
      </c>
    </row>
    <row r="33" spans="2:27" x14ac:dyDescent="0.3">
      <c r="B33" s="67"/>
      <c r="C33" s="4" t="s">
        <v>196</v>
      </c>
      <c r="D33" s="18">
        <v>30</v>
      </c>
      <c r="E33" s="1"/>
      <c r="F33" s="1"/>
      <c r="G33" s="1"/>
      <c r="H33" s="1"/>
      <c r="I33" s="1"/>
      <c r="J33" s="19">
        <f>(D33*D$60)+(E33*E$60)+(F33*F$60)+(G33*G$60)+(H33*H$60)+(I33*I$60)</f>
        <v>150</v>
      </c>
      <c r="K33" s="15">
        <f>IF(D33&gt;=100, 250, IF(D33&gt;=50, 150, IF(D33&gt;=30, 50, "")))</f>
        <v>50</v>
      </c>
      <c r="L33" s="20" t="str">
        <f>IF(E33=5, 200, IF(E33=3, 150, IF(E33=2, 50, "")))</f>
        <v/>
      </c>
      <c r="M33" s="20" t="str">
        <f>IF(H33=3,100,IF(H33=5,200,""))</f>
        <v/>
      </c>
      <c r="N33" s="20"/>
      <c r="O33" s="20"/>
      <c r="P33" s="1"/>
      <c r="Q33" s="1"/>
      <c r="R33" s="17">
        <f>SUM(K33:Q33)</f>
        <v>50</v>
      </c>
      <c r="T33" s="14">
        <f>R33+J33</f>
        <v>200</v>
      </c>
      <c r="V33" s="28">
        <v>4</v>
      </c>
      <c r="W33" s="44">
        <v>45747</v>
      </c>
      <c r="X33" s="45">
        <v>-1615</v>
      </c>
      <c r="Y33" s="45">
        <v>-650</v>
      </c>
      <c r="Z33" s="45">
        <v>3780</v>
      </c>
      <c r="AA33" s="45">
        <v>-1515</v>
      </c>
    </row>
    <row r="34" spans="2:27" ht="15" thickBot="1" x14ac:dyDescent="0.35">
      <c r="B34" s="68"/>
      <c r="C34" s="21" t="s">
        <v>197</v>
      </c>
      <c r="D34" s="9"/>
      <c r="E34" s="10">
        <v>1</v>
      </c>
      <c r="F34" s="10"/>
      <c r="G34" s="10"/>
      <c r="H34" s="10"/>
      <c r="I34" s="10"/>
      <c r="J34" s="11">
        <f>(D34*D$60)+(E34*E$60)+(F34*F$60)+(G34*G$60)+(H34*H$60)+(I34*I$60)</f>
        <v>100</v>
      </c>
      <c r="K34" s="12" t="str">
        <f>IF(D34&gt;=100, 250, IF(D34&gt;=50, 150, IF(D34&gt;=30, 50, "")))</f>
        <v/>
      </c>
      <c r="L34" s="12" t="str">
        <f>IF(E34=5, 200, IF(E34=3, 150, IF(E34=2, 50, "")))</f>
        <v/>
      </c>
      <c r="M34" s="12" t="str">
        <f>IF(H34=3,100,IF(H34=5,200,""))</f>
        <v/>
      </c>
      <c r="N34" s="12"/>
      <c r="O34" s="12"/>
      <c r="P34" s="10"/>
      <c r="Q34" s="10"/>
      <c r="R34" s="13">
        <f>SUM(K34:Q34)</f>
        <v>0</v>
      </c>
      <c r="T34" s="22">
        <f>(R34+J34)</f>
        <v>100</v>
      </c>
      <c r="V34" s="28">
        <v>5</v>
      </c>
      <c r="W34" s="29">
        <v>45748</v>
      </c>
      <c r="X34" s="28">
        <v>-1275</v>
      </c>
      <c r="Y34" s="28">
        <v>2655</v>
      </c>
      <c r="Z34" s="28">
        <v>-1355</v>
      </c>
      <c r="AA34" s="28">
        <v>-25</v>
      </c>
    </row>
    <row r="35" spans="2:27" ht="15" thickBot="1" x14ac:dyDescent="0.35">
      <c r="T35" s="37">
        <f>SUM(T30:T34)</f>
        <v>690</v>
      </c>
      <c r="V35" s="28">
        <v>6</v>
      </c>
      <c r="W35" s="29">
        <v>45749</v>
      </c>
      <c r="X35" s="28">
        <f>T35-T47</f>
        <v>-1340</v>
      </c>
      <c r="Y35" s="28">
        <f>T41-T47</f>
        <v>-1360</v>
      </c>
      <c r="Z35" s="28">
        <f>-(X35+Y35+AA35)</f>
        <v>4095</v>
      </c>
      <c r="AA35" s="28">
        <f>T53-T47</f>
        <v>-1395</v>
      </c>
    </row>
    <row r="36" spans="2:27" x14ac:dyDescent="0.3">
      <c r="B36" s="66" t="s">
        <v>96</v>
      </c>
      <c r="C36" s="39" t="s">
        <v>120</v>
      </c>
      <c r="D36" s="23">
        <v>14</v>
      </c>
      <c r="E36" s="6"/>
      <c r="F36" s="6"/>
      <c r="G36" s="6"/>
      <c r="H36" s="6"/>
      <c r="I36" s="6"/>
      <c r="J36" s="7">
        <f>(D36*D$60)+(E36*E$60)+(F36*F$60)+(G36*G$60)+(H36*H$60)+(I36*I$60)</f>
        <v>70</v>
      </c>
      <c r="K36" s="5" t="str">
        <f>IF(D36&gt;=100, 250, IF(D36&gt;=50, 150, IF(D36&gt;=30, 50, "")))</f>
        <v/>
      </c>
      <c r="L36" s="23" t="str">
        <f>IF(E36=5, 200, IF(E36=3, 150, IF(E36=2, 50, "")))</f>
        <v/>
      </c>
      <c r="M36" s="23" t="str">
        <f>IF(H36=3,100,IF(H36=5,200,""))</f>
        <v/>
      </c>
      <c r="N36" s="23"/>
      <c r="O36" s="23"/>
      <c r="P36" s="6"/>
      <c r="Q36" s="6"/>
      <c r="R36" s="24">
        <f>SUM(K36:Q36)</f>
        <v>0</v>
      </c>
      <c r="T36" s="33">
        <f>(R36+J36)*2</f>
        <v>140</v>
      </c>
      <c r="V36" s="28">
        <v>7</v>
      </c>
      <c r="W36" s="29"/>
      <c r="X36" s="28"/>
      <c r="Y36" s="28"/>
      <c r="Z36" s="28"/>
      <c r="AA36" s="28"/>
    </row>
    <row r="37" spans="2:27" x14ac:dyDescent="0.3">
      <c r="B37" s="67"/>
      <c r="C37" s="19" t="s">
        <v>35</v>
      </c>
      <c r="D37" s="20">
        <v>12</v>
      </c>
      <c r="E37" s="1"/>
      <c r="F37" s="1"/>
      <c r="G37" s="1"/>
      <c r="H37" s="1"/>
      <c r="I37" s="1"/>
      <c r="J37" s="19">
        <f>(D37*D$60)+(E37*E$60)+(F37*F$60)+(G37*G$60)+(H37*H$60)+(I37*I$60)</f>
        <v>60</v>
      </c>
      <c r="K37" s="43" t="str">
        <f>IF(D37&gt;=100, 250, IF(D37&gt;=50, 150, IF(D37&gt;=30, 50, "")))</f>
        <v/>
      </c>
      <c r="L37" s="20" t="str">
        <f>IF(E37=5, 200, IF(E37=3, 150, IF(E37=2, 50, "")))</f>
        <v/>
      </c>
      <c r="M37" s="20" t="str">
        <f>IF(H37=3,100,IF(H37=5,200,""))</f>
        <v/>
      </c>
      <c r="N37" s="20"/>
      <c r="O37" s="20"/>
      <c r="P37" s="1"/>
      <c r="Q37" s="1"/>
      <c r="R37" s="17">
        <f>SUM(K37:Q37)</f>
        <v>0</v>
      </c>
      <c r="T37" s="14">
        <f>R37+J37</f>
        <v>60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160</v>
      </c>
      <c r="D38" s="20">
        <v>4</v>
      </c>
      <c r="E38" s="1"/>
      <c r="F38" s="1"/>
      <c r="G38" s="1"/>
      <c r="H38" s="1"/>
      <c r="I38" s="1"/>
      <c r="J38" s="19">
        <f>(D38*D$60)+(E38*E$60)+(F38*F$60)+(G38*G$60)+(H38*H$60)+(I38*I$60)</f>
        <v>20</v>
      </c>
      <c r="K38" s="43" t="str">
        <f>IF(D38&gt;=100, 250, IF(D38&gt;=50, 150, IF(D38&gt;=30, 50, "")))</f>
        <v/>
      </c>
      <c r="L38" s="20" t="str">
        <f>IF(E38=5, 200, IF(E38=3, 150, IF(E38=2, 50, "")))</f>
        <v/>
      </c>
      <c r="M38" s="20" t="str">
        <f>IF(H38=3,100,IF(H38=5,200,""))</f>
        <v/>
      </c>
      <c r="N38" s="20"/>
      <c r="O38" s="20"/>
      <c r="P38" s="1"/>
      <c r="Q38" s="1"/>
      <c r="R38" s="17">
        <f>SUM(K38:Q38)</f>
        <v>0</v>
      </c>
      <c r="T38" s="14">
        <f>R38+J38</f>
        <v>20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21</v>
      </c>
      <c r="D39" s="20"/>
      <c r="E39" s="1">
        <v>3</v>
      </c>
      <c r="F39" s="1"/>
      <c r="G39" s="1"/>
      <c r="H39" s="1"/>
      <c r="I39" s="1"/>
      <c r="J39" s="19">
        <f>(D39*D$60)+(E39*E$60)+(F39*F$60)+(G39*G$60)+(H39*H$60)+(I39*I$60)</f>
        <v>300</v>
      </c>
      <c r="K39" s="43" t="str">
        <f>IF(D39&gt;=100, 250, IF(D39&gt;=50, 150, IF(D39&gt;=30, 50, "")))</f>
        <v/>
      </c>
      <c r="L39" s="20">
        <f>IF(E39=5, 200, IF(E39=3, 150, IF(E39=2, 50, "")))</f>
        <v>150</v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150</v>
      </c>
      <c r="T39" s="14">
        <f>R39+J39</f>
        <v>450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102</v>
      </c>
      <c r="D40" s="12"/>
      <c r="E40" s="10"/>
      <c r="F40" s="10"/>
      <c r="G40" s="10"/>
      <c r="H40" s="10"/>
      <c r="I40" s="10"/>
      <c r="J40" s="11">
        <f>(D40*D$60)+(E40*E$60)+(F40*F$60)+(G40*G$60)+(H40*H$60)+(I40*I$60)</f>
        <v>0</v>
      </c>
      <c r="K40" s="9" t="str">
        <f>IF(D40&gt;=100, 250, IF(D40&gt;=50, 150, IF(D40&gt;=30, 50, "")))</f>
        <v/>
      </c>
      <c r="L40" s="12" t="str">
        <f>IF(E40=5, 200, IF(E40=3, 150, IF(E40=2, 50, "")))</f>
        <v/>
      </c>
      <c r="M40" s="12" t="str">
        <f>IF(H40=3,100,IF(H40=5,200,""))</f>
        <v/>
      </c>
      <c r="N40" s="12"/>
      <c r="O40" s="12"/>
      <c r="P40" s="10"/>
      <c r="Q40" s="10"/>
      <c r="R40" s="13">
        <f>SUM(K40:Q40)</f>
        <v>0</v>
      </c>
      <c r="T40" s="34">
        <f>R40+J40</f>
        <v>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670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198</v>
      </c>
      <c r="D42" s="23">
        <v>49</v>
      </c>
      <c r="E42" s="6"/>
      <c r="F42" s="6"/>
      <c r="G42" s="6"/>
      <c r="H42" s="6"/>
      <c r="I42" s="6"/>
      <c r="J42" s="7">
        <f>(D42*D$60)+(E42*E$60)+(F42*F$60)+(G42*G$60)+(H42*H$60)+(I42*I$60)</f>
        <v>245</v>
      </c>
      <c r="K42" s="5">
        <f>IF(D42&gt;=100, 250, IF(D42&gt;=50, 150, IF(D42&gt;=30, 50, "")))</f>
        <v>50</v>
      </c>
      <c r="L42" s="23" t="str">
        <f>IF(E42=5, 200, IF(E42=3, 150, IF(E42=2, 50, "")))</f>
        <v/>
      </c>
      <c r="M42" s="23" t="str">
        <f>IF(H42=3,100,IF(H42=5,200,""))</f>
        <v/>
      </c>
      <c r="N42" s="23"/>
      <c r="O42" s="23"/>
      <c r="P42" s="6"/>
      <c r="Q42" s="6"/>
      <c r="R42" s="24">
        <f>SUM(K42:Q42)</f>
        <v>50</v>
      </c>
      <c r="T42" s="33">
        <f>(R42+J42)*2</f>
        <v>590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199</v>
      </c>
      <c r="D43" s="20">
        <v>73</v>
      </c>
      <c r="E43" s="1"/>
      <c r="F43" s="1"/>
      <c r="G43" s="1"/>
      <c r="H43" s="1">
        <v>1</v>
      </c>
      <c r="I43" s="1"/>
      <c r="J43" s="19">
        <f>(D43*D$60)+(E43*E$60)+(F43*F$60)+(G43*G$60)+(H43*H$60)+(I43*I$60)</f>
        <v>415</v>
      </c>
      <c r="K43" s="43">
        <f>IF(D43&gt;=100, 250, IF(D43&gt;=50, 150, IF(D43&gt;=30, 50, "")))</f>
        <v>150</v>
      </c>
      <c r="L43" s="20" t="str">
        <f>IF(E43=5, 200, IF(E43=3, 150, IF(E43=2, 50, "")))</f>
        <v/>
      </c>
      <c r="M43" s="20" t="str">
        <f>IF(H43=3,100,IF(H43=5,200,""))</f>
        <v/>
      </c>
      <c r="N43" s="20"/>
      <c r="O43" s="20">
        <v>150</v>
      </c>
      <c r="P43" s="1"/>
      <c r="Q43" s="1"/>
      <c r="R43" s="17">
        <f>SUM(K43:Q43)</f>
        <v>300</v>
      </c>
      <c r="T43" s="14">
        <f>R43+J43</f>
        <v>715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40</v>
      </c>
      <c r="D44" s="20">
        <v>54</v>
      </c>
      <c r="E44" s="1"/>
      <c r="F44" s="1"/>
      <c r="G44" s="1"/>
      <c r="H44" s="1">
        <v>1</v>
      </c>
      <c r="I44" s="1"/>
      <c r="J44" s="19">
        <f>(D44*D$60)+(E44*E$60)+(F44*F$60)+(G44*G$60)+(H44*H$60)+(I44*I$60)</f>
        <v>320</v>
      </c>
      <c r="K44" s="43">
        <f>IF(D44&gt;=100, 250, IF(D44&gt;=50, 150, IF(D44&gt;=30, 50, "")))</f>
        <v>150</v>
      </c>
      <c r="L44" s="20" t="str">
        <f>IF(E44=5, 200, IF(E44=3, 150, IF(E44=2, 50, "")))</f>
        <v/>
      </c>
      <c r="M44" s="20" t="str">
        <f>IF(H44=3,100,IF(H44=5,200,""))</f>
        <v/>
      </c>
      <c r="N44" s="20"/>
      <c r="O44" s="20">
        <v>150</v>
      </c>
      <c r="P44" s="1"/>
      <c r="Q44" s="1"/>
      <c r="R44" s="17">
        <f>SUM(K44:Q44)</f>
        <v>300</v>
      </c>
      <c r="T44" s="14">
        <f>R44+J44</f>
        <v>620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162</v>
      </c>
      <c r="D45" s="20">
        <v>1</v>
      </c>
      <c r="E45" s="1">
        <v>1</v>
      </c>
      <c r="F45" s="1"/>
      <c r="G45" s="1"/>
      <c r="H45" s="1"/>
      <c r="I45" s="1"/>
      <c r="J45" s="19">
        <f>(D45*D$60)+(E45*E$60)+(F45*F$60)+(G45*G$60)+(H45*H$60)+(I45*I$60)</f>
        <v>105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105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200</v>
      </c>
      <c r="D46" s="12"/>
      <c r="E46" s="10"/>
      <c r="F46" s="10"/>
      <c r="G46" s="10"/>
      <c r="H46" s="10"/>
      <c r="I46" s="10"/>
      <c r="J46" s="11">
        <f>(D46*D$60)+(E46*E$60)+(F46*F$60)+(G46*G$60)+(H46*H$60)+(I46*I$60)</f>
        <v>0</v>
      </c>
      <c r="K46" s="9" t="str">
        <f>IF(D46&gt;=100, 250, IF(D46&gt;=50, 150, IF(D46&gt;=30, 50, "")))</f>
        <v/>
      </c>
      <c r="L46" s="12" t="str">
        <f>IF(E46=5, 200, IF(E46=3, 150, IF(E46=2, 50, "")))</f>
        <v/>
      </c>
      <c r="M46" s="12" t="str">
        <f>IF(H46=3,100,IF(H46=5,200,""))</f>
        <v/>
      </c>
      <c r="N46" s="12"/>
      <c r="O46" s="12"/>
      <c r="P46" s="10"/>
      <c r="Q46" s="10"/>
      <c r="R46" s="13">
        <f>SUM(K46:Q46)</f>
        <v>0</v>
      </c>
      <c r="T46" s="34">
        <f>R46+J46</f>
        <v>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2030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19</v>
      </c>
      <c r="D48" s="23">
        <v>7</v>
      </c>
      <c r="E48" s="6"/>
      <c r="F48" s="6"/>
      <c r="G48" s="6"/>
      <c r="H48" s="6"/>
      <c r="I48" s="6"/>
      <c r="J48" s="7">
        <f>(D48*D$60)+(E48*E$60)+(F48*F$60)+(G48*G$60)+(H48*H$60)+(I48*I$60)</f>
        <v>35</v>
      </c>
      <c r="K48" s="5" t="str">
        <f>IF(D48&gt;=100, 250, IF(D48&gt;=50, 150, IF(D48&gt;=30, 50, "")))</f>
        <v/>
      </c>
      <c r="L48" s="23" t="str">
        <f>IF(E48=5, 200, IF(E48=3, 150, IF(E48=2, 50, "")))</f>
        <v/>
      </c>
      <c r="M48" s="23" t="str">
        <f>IF(H48=3,100,IF(H48=5,200,""))</f>
        <v/>
      </c>
      <c r="N48" s="23"/>
      <c r="O48" s="23"/>
      <c r="P48" s="6"/>
      <c r="Q48" s="6"/>
      <c r="R48" s="24">
        <f>SUM(K48:Q48)</f>
        <v>0</v>
      </c>
      <c r="T48" s="33">
        <f>(R48+J48)*2</f>
        <v>70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135</v>
      </c>
      <c r="D49" s="20"/>
      <c r="E49" s="1"/>
      <c r="F49" s="1"/>
      <c r="G49" s="1"/>
      <c r="H49" s="1"/>
      <c r="I49" s="1"/>
      <c r="J49" s="19">
        <f>(D49*D$60)+(E49*E$60)+(F49*F$60)+(G49*G$60)+(H49*H$60)+(I49*I$60)</f>
        <v>0</v>
      </c>
      <c r="K49" s="43" t="str">
        <f>IF(D49&gt;=100, 250, IF(D49&gt;=50, 150, IF(D49&gt;=30, 50, "")))</f>
        <v/>
      </c>
      <c r="L49" s="20" t="str">
        <f t="shared" ref="L49:L51" si="0">IF(E49=5, 200, IF(E49=3, 150, IF(E49=2, 50, "")))</f>
        <v/>
      </c>
      <c r="M49" s="20" t="str">
        <f>IF(H49=3,100,IF(H49=5,200,""))</f>
        <v/>
      </c>
      <c r="N49" s="20"/>
      <c r="O49" s="20"/>
      <c r="P49" s="1"/>
      <c r="Q49" s="1"/>
      <c r="R49" s="17">
        <f>SUM(K49:Q49)</f>
        <v>0</v>
      </c>
      <c r="T49" s="14">
        <f>R49+J49</f>
        <v>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201</v>
      </c>
      <c r="D50" s="20"/>
      <c r="E50" s="1">
        <v>2</v>
      </c>
      <c r="F50" s="1"/>
      <c r="G50" s="1"/>
      <c r="H50" s="1">
        <v>1</v>
      </c>
      <c r="I50" s="1"/>
      <c r="J50" s="19">
        <f>(D50*D$60)+(E50*E$60)+(F50*F$60)+(G50*G$60)+(H50*H$60)+(I50*I$60)</f>
        <v>250</v>
      </c>
      <c r="K50" s="43" t="str">
        <f>IF(D50&gt;=100, 250, IF(D50&gt;=50, 150, IF(D50&gt;=30, 50, "")))</f>
        <v/>
      </c>
      <c r="L50" s="20">
        <f t="shared" si="0"/>
        <v>50</v>
      </c>
      <c r="M50" s="20" t="str">
        <f>IF(H50=3,100,IF(H50=5,200,""))</f>
        <v/>
      </c>
      <c r="N50" s="20"/>
      <c r="O50" s="20"/>
      <c r="P50" s="1"/>
      <c r="Q50" s="1"/>
      <c r="R50" s="17">
        <f>SUM(K50:Q50)</f>
        <v>50</v>
      </c>
      <c r="T50" s="14">
        <f>R50+J50</f>
        <v>300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202</v>
      </c>
      <c r="D51" s="20"/>
      <c r="E51" s="1"/>
      <c r="F51" s="1"/>
      <c r="G51" s="1"/>
      <c r="H51" s="1"/>
      <c r="I51" s="1"/>
      <c r="J51" s="19">
        <f>(D51*D$60)+(E51*E$60)+(F51*F$60)+(G51*G$60)+(H51*H$60)+(I51*I$60)</f>
        <v>0</v>
      </c>
      <c r="K51" s="43" t="str">
        <f>IF(D51&gt;=100, 250, IF(D51&gt;=50, 150, IF(D51&gt;=30, 50, "")))</f>
        <v/>
      </c>
      <c r="L51" s="20" t="str">
        <f t="shared" si="0"/>
        <v/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0</v>
      </c>
      <c r="T51" s="14">
        <f>R51+J51</f>
        <v>0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65</v>
      </c>
      <c r="D52" s="12">
        <v>33</v>
      </c>
      <c r="E52" s="10"/>
      <c r="F52" s="10"/>
      <c r="G52" s="10"/>
      <c r="H52" s="10">
        <v>1</v>
      </c>
      <c r="I52" s="10"/>
      <c r="J52" s="11">
        <f>(D52*D$60)+(E52*E$60)+(F52*F$60)+(G52*G$60)+(H52*H$60)+(I52*I$60)</f>
        <v>215</v>
      </c>
      <c r="K52" s="9">
        <f>IF(D52&gt;=100, 250, IF(D52&gt;=50, 150, IF(D52&gt;=30, 50, "")))</f>
        <v>50</v>
      </c>
      <c r="L52" s="12" t="str">
        <f>IF(E52=5, 200, IF(E52=3, 150, IF(E52=2, 50, "")))</f>
        <v/>
      </c>
      <c r="M52" s="12" t="str">
        <f>IF(H52=3,100,IF(H52=5,200,""))</f>
        <v/>
      </c>
      <c r="N52" s="12"/>
      <c r="O52" s="12"/>
      <c r="P52" s="10"/>
      <c r="Q52" s="10"/>
      <c r="R52" s="13">
        <f>SUM(K52:Q52)</f>
        <v>50</v>
      </c>
      <c r="T52" s="34">
        <f>R52+J52</f>
        <v>265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635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SUM(X62:X69)</f>
        <v>-210</v>
      </c>
      <c r="Y61" s="42">
        <f>SUM(Y62:Y69)</f>
        <v>-3015</v>
      </c>
      <c r="Z61" s="42">
        <f>SUM(Z62:Z69)</f>
        <v>-3485</v>
      </c>
      <c r="AA61" s="42">
        <f>SUM(AA62:AA69)</f>
        <v>6710</v>
      </c>
    </row>
    <row r="62" spans="2:27" x14ac:dyDescent="0.3">
      <c r="B62" s="66" t="s">
        <v>95</v>
      </c>
      <c r="C62" s="38" t="s">
        <v>52</v>
      </c>
      <c r="D62" s="5">
        <v>20</v>
      </c>
      <c r="E62" s="6"/>
      <c r="F62" s="6"/>
      <c r="G62" s="6"/>
      <c r="H62" s="6"/>
      <c r="I62" s="6"/>
      <c r="J62" s="7">
        <f>(D62*D$60)+(E62*E$60)+(F62*F$60)+(G62*G$60)+(H62*H$60)+(I62*I$60)</f>
        <v>100</v>
      </c>
      <c r="K62" s="15" t="str">
        <f>IF(D62&gt;=100, 250, IF(D62&gt;=50, 150, IF(D62&gt;=30, 50, "")))</f>
        <v/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0</v>
      </c>
      <c r="T62" s="14">
        <f>(R62+J62)*2</f>
        <v>200</v>
      </c>
      <c r="V62" s="28">
        <v>1</v>
      </c>
      <c r="W62" s="29">
        <v>45745</v>
      </c>
      <c r="X62" s="28">
        <v>1625</v>
      </c>
      <c r="Y62" s="28">
        <v>-605</v>
      </c>
      <c r="Z62" s="28">
        <v>-855</v>
      </c>
      <c r="AA62" s="28">
        <v>-165</v>
      </c>
    </row>
    <row r="63" spans="2:27" x14ac:dyDescent="0.3">
      <c r="B63" s="67"/>
      <c r="C63" s="4" t="s">
        <v>66</v>
      </c>
      <c r="D63" s="18">
        <v>18</v>
      </c>
      <c r="E63" s="1"/>
      <c r="F63" s="1"/>
      <c r="G63" s="1"/>
      <c r="H63" s="1"/>
      <c r="I63" s="1"/>
      <c r="J63" s="19">
        <f>(D63*D$60)+(E63*E$60)+(F63*F$60)+(G63*G$60)+(H63*H$60)+(I63*I$60)</f>
        <v>90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90</v>
      </c>
      <c r="V63" s="28">
        <v>2</v>
      </c>
      <c r="W63" s="44">
        <v>45746</v>
      </c>
      <c r="X63" s="45">
        <v>-770</v>
      </c>
      <c r="Y63" s="45">
        <v>-905</v>
      </c>
      <c r="Z63" s="45">
        <v>-1265</v>
      </c>
      <c r="AA63" s="45">
        <v>2940</v>
      </c>
    </row>
    <row r="64" spans="2:27" x14ac:dyDescent="0.3">
      <c r="B64" s="67"/>
      <c r="C64" s="4" t="s">
        <v>78</v>
      </c>
      <c r="D64" s="18">
        <v>81</v>
      </c>
      <c r="E64" s="1"/>
      <c r="F64" s="1"/>
      <c r="G64" s="1"/>
      <c r="H64" s="1"/>
      <c r="I64" s="1"/>
      <c r="J64" s="19">
        <f>(D64*D$60)+(E64*E$60)+(F64*F$60)+(G64*G$60)+(H64*H$60)+(I64*I$60)</f>
        <v>405</v>
      </c>
      <c r="K64" s="15">
        <f>IF(D64&gt;=100, 250, IF(D64&gt;=50, 150, IF(D64&gt;=30, 50, "")))</f>
        <v>150</v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>
        <v>150</v>
      </c>
      <c r="P64" s="1"/>
      <c r="Q64" s="1"/>
      <c r="R64" s="17">
        <f>SUM(K64:Q64)</f>
        <v>300</v>
      </c>
      <c r="T64" s="14">
        <f>R64+J64</f>
        <v>705</v>
      </c>
      <c r="V64" s="28">
        <v>3</v>
      </c>
      <c r="W64" s="44">
        <v>45746</v>
      </c>
      <c r="X64" s="45">
        <v>-1065</v>
      </c>
      <c r="Y64" s="45">
        <v>-1505</v>
      </c>
      <c r="Z64" s="45">
        <v>-1365</v>
      </c>
      <c r="AA64" s="45">
        <v>3935</v>
      </c>
    </row>
    <row r="65" spans="2:27" x14ac:dyDescent="0.3">
      <c r="B65" s="67"/>
      <c r="C65" s="4" t="s">
        <v>178</v>
      </c>
      <c r="D65" s="18">
        <v>2</v>
      </c>
      <c r="E65" s="1"/>
      <c r="F65" s="1"/>
      <c r="G65" s="1"/>
      <c r="H65" s="1"/>
      <c r="I65" s="1"/>
      <c r="J65" s="19">
        <f>(D65*D$60)+(E65*E$60)+(F65*F$60)+(G65*G$60)+(H65*H$60)+(I65*I$60)</f>
        <v>10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179</v>
      </c>
      <c r="D66" s="9">
        <v>19</v>
      </c>
      <c r="E66" s="10"/>
      <c r="F66" s="10"/>
      <c r="G66" s="10"/>
      <c r="H66" s="10">
        <v>2</v>
      </c>
      <c r="I66" s="10"/>
      <c r="J66" s="11">
        <f>(D66*D$60)+(E66*E$60)+(F66*F$60)+(G66*G$60)+(H66*H$60)+(I66*I$60)</f>
        <v>195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195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1200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180</v>
      </c>
      <c r="D68" s="23">
        <v>4</v>
      </c>
      <c r="E68" s="6"/>
      <c r="F68" s="6"/>
      <c r="G68" s="6"/>
      <c r="H68" s="6">
        <v>1</v>
      </c>
      <c r="I68" s="6"/>
      <c r="J68" s="7">
        <f>(D68*D$60)+(E68*E$60)+(F68*F$60)+(G68*G$60)+(H68*H$60)+(I68*I$60)</f>
        <v>70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140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181</v>
      </c>
      <c r="D69" s="20"/>
      <c r="E69" s="1">
        <v>2</v>
      </c>
      <c r="F69" s="1"/>
      <c r="G69" s="1"/>
      <c r="H69" s="1">
        <v>1</v>
      </c>
      <c r="I69" s="1"/>
      <c r="J69" s="19">
        <f>(D69*D$60)+(E69*E$60)+(F69*F$60)+(G69*G$60)+(H69*H$60)+(I69*I$60)</f>
        <v>250</v>
      </c>
      <c r="K69" s="43" t="str">
        <f>IF(D69&gt;=100, 250, IF(D69&gt;=50, 150, IF(D69&gt;=30, 50, "")))</f>
        <v/>
      </c>
      <c r="L69" s="20">
        <f>IF(E69=5, 200, IF(E69=3, 150, IF(E69=2, 50, "")))</f>
        <v>50</v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300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182</v>
      </c>
      <c r="D70" s="20">
        <v>23</v>
      </c>
      <c r="E70" s="1"/>
      <c r="F70" s="1"/>
      <c r="G70" s="1"/>
      <c r="H70" s="1"/>
      <c r="I70" s="1"/>
      <c r="J70" s="19">
        <f>(D70*D$60)+(E70*E$60)+(F70*F$60)+(G70*G$60)+(H70*H$60)+(I70*I$60)</f>
        <v>115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115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68</v>
      </c>
      <c r="D71" s="20"/>
      <c r="E71" s="1">
        <v>1</v>
      </c>
      <c r="F71" s="1"/>
      <c r="G71" s="1"/>
      <c r="H71" s="1">
        <v>2</v>
      </c>
      <c r="I71" s="1"/>
      <c r="J71" s="19">
        <f>(D71*D$60)+(E71*E$60)+(F71*F$60)+(G71*G$60)+(H71*H$60)+(I71*I$60)</f>
        <v>200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200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80</v>
      </c>
      <c r="D72" s="12">
        <v>1</v>
      </c>
      <c r="E72" s="10"/>
      <c r="F72" s="10"/>
      <c r="G72" s="10"/>
      <c r="H72" s="10"/>
      <c r="I72" s="10"/>
      <c r="J72" s="11">
        <f>(D72*D$60)+(E72*E$60)+(F72*F$60)+(G72*G$60)+(H72*H$60)+(I72*I$60)</f>
        <v>5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5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760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183</v>
      </c>
      <c r="D74" s="23">
        <v>0</v>
      </c>
      <c r="E74" s="6"/>
      <c r="F74" s="6"/>
      <c r="G74" s="6"/>
      <c r="H74" s="6">
        <v>1</v>
      </c>
      <c r="I74" s="6">
        <v>1</v>
      </c>
      <c r="J74" s="7">
        <f>(D74*D$60)+(E74*E$60)+(F74*F$60)+(G74*G$60)+(H74*H$60)+(I74*I$60)</f>
        <v>0</v>
      </c>
      <c r="K74" s="5" t="str">
        <f>IF(D74&gt;=100, 250, IF(D74&gt;=50, 150, IF(D74&gt;=30, 50, "")))</f>
        <v/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0</v>
      </c>
      <c r="T74" s="33">
        <f>(R74+J74)*2</f>
        <v>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61</v>
      </c>
      <c r="D75" s="20">
        <v>37</v>
      </c>
      <c r="E75" s="1"/>
      <c r="F75" s="1"/>
      <c r="G75" s="1"/>
      <c r="H75" s="1">
        <v>1</v>
      </c>
      <c r="I75" s="1"/>
      <c r="J75" s="19">
        <f>(D75*D$60)+(E75*E$60)+(F75*F$60)+(G75*G$60)+(H75*H$60)+(I75*I$60)</f>
        <v>235</v>
      </c>
      <c r="K75" s="43">
        <f>IF(D75&gt;=100, 250, IF(D75&gt;=50, 150, IF(D75&gt;=30, 50, "")))</f>
        <v>50</v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50</v>
      </c>
      <c r="T75" s="14">
        <f>R75+J75</f>
        <v>285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59</v>
      </c>
      <c r="D76" s="20">
        <v>32</v>
      </c>
      <c r="E76" s="1">
        <v>1</v>
      </c>
      <c r="F76" s="1"/>
      <c r="G76" s="1"/>
      <c r="H76" s="1"/>
      <c r="I76" s="1"/>
      <c r="J76" s="19">
        <f>(D76*D$60)+(E76*E$60)+(F76*F$60)+(G76*G$60)+(H76*H$60)+(I76*I$60)</f>
        <v>260</v>
      </c>
      <c r="K76" s="43">
        <f>IF(D76&gt;=100, 250, IF(D76&gt;=50, 150, IF(D76&gt;=30, 50, "")))</f>
        <v>50</v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50</v>
      </c>
      <c r="T76" s="14">
        <f>R76+J76</f>
        <v>310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184</v>
      </c>
      <c r="D77" s="20">
        <v>11</v>
      </c>
      <c r="E77" s="1"/>
      <c r="F77" s="1"/>
      <c r="G77" s="1"/>
      <c r="H77" s="1"/>
      <c r="I77" s="1"/>
      <c r="J77" s="19">
        <f>(D77*D$60)+(E77*E$60)+(F77*F$60)+(G77*G$60)+(H77*H$60)+(I77*I$60)</f>
        <v>55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55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141</v>
      </c>
      <c r="D78" s="12">
        <v>0</v>
      </c>
      <c r="E78" s="10">
        <v>1</v>
      </c>
      <c r="F78" s="10"/>
      <c r="G78" s="10"/>
      <c r="H78" s="10"/>
      <c r="I78" s="10">
        <v>1</v>
      </c>
      <c r="J78" s="11">
        <f>(D78*D$60)+(E78*E$60)+(F78*F$60)+(G78*G$60)+(H78*H$60)+(I78*I$60)</f>
        <v>50</v>
      </c>
      <c r="K78" s="9" t="str">
        <f>IF(D78&gt;=100, 250, IF(D78&gt;=50, 150, IF(D78&gt;=30, 50, "")))</f>
        <v/>
      </c>
      <c r="L78" s="12" t="str">
        <f>IF(E78=5, 200, IF(E78=3, 150, IF(E78=2, 50, "")))</f>
        <v/>
      </c>
      <c r="M78" s="12" t="str">
        <f>IF(H78=3,100,IF(H78=5,200,""))</f>
        <v/>
      </c>
      <c r="N78" s="12"/>
      <c r="O78" s="12"/>
      <c r="P78" s="10"/>
      <c r="Q78" s="10">
        <v>200</v>
      </c>
      <c r="R78" s="13">
        <f>SUM(K78:Q78)</f>
        <v>200</v>
      </c>
      <c r="T78" s="34">
        <f>R78+J78</f>
        <v>250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900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72</v>
      </c>
      <c r="D80" s="23">
        <v>63</v>
      </c>
      <c r="E80" s="6"/>
      <c r="F80" s="6"/>
      <c r="G80" s="6"/>
      <c r="H80" s="6">
        <v>1</v>
      </c>
      <c r="I80" s="6"/>
      <c r="J80" s="7">
        <f>(D80*D$60)+(E80*E$60)+(F80*F$60)+(G80*G$60)+(H80*H$60)+(I80*I$60)</f>
        <v>365</v>
      </c>
      <c r="K80" s="5">
        <f>IF(D80&gt;=100, 250, IF(D80&gt;=50, 150, IF(D80&gt;=30, 50, "")))</f>
        <v>150</v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150</v>
      </c>
      <c r="T80" s="33">
        <f>(R80+J80)*2</f>
        <v>1030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26</v>
      </c>
      <c r="D81" s="20"/>
      <c r="E81" s="1">
        <v>2</v>
      </c>
      <c r="F81" s="1"/>
      <c r="G81" s="1"/>
      <c r="H81" s="1"/>
      <c r="I81" s="1"/>
      <c r="J81" s="19">
        <f>(D81*D$60)+(E81*E$60)+(F81*F$60)+(G81*G$60)+(H81*H$60)+(I81*I$60)</f>
        <v>200</v>
      </c>
      <c r="K81" s="43" t="str">
        <f>IF(D81&gt;=100, 250, IF(D81&gt;=50, 150, IF(D81&gt;=30, 50, "")))</f>
        <v/>
      </c>
      <c r="L81" s="20">
        <f>IF(E81=5, 200, IF(E81=3, 150, IF(E81=2, 50, "")))</f>
        <v>50</v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50</v>
      </c>
      <c r="T81" s="14">
        <f>R81+J81</f>
        <v>250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139</v>
      </c>
      <c r="D82" s="20">
        <v>4</v>
      </c>
      <c r="E82" s="1">
        <v>4</v>
      </c>
      <c r="F82" s="1"/>
      <c r="G82" s="1"/>
      <c r="H82" s="1"/>
      <c r="I82" s="1"/>
      <c r="J82" s="19">
        <f>(D82*D$60)+(E82*E$60)+(F82*F$60)+(G82*G$60)+(H82*H$60)+(I82*I$60)</f>
        <v>420</v>
      </c>
      <c r="K82" s="43" t="str">
        <f>IF(D82&gt;=100, 250, IF(D82&gt;=50, 150, IF(D82&gt;=30, 50, "")))</f>
        <v/>
      </c>
      <c r="L82" s="20">
        <v>150</v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150</v>
      </c>
      <c r="T82" s="14">
        <f>R82+J82</f>
        <v>570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109</v>
      </c>
      <c r="D83" s="20">
        <v>3</v>
      </c>
      <c r="E83" s="1"/>
      <c r="F83" s="1"/>
      <c r="G83" s="1"/>
      <c r="H83" s="1">
        <v>1</v>
      </c>
      <c r="I83" s="1"/>
      <c r="J83" s="19">
        <f>(D83*D$60)+(E83*E$60)+(F83*F$60)+(G83*G$60)+(H83*H$60)+(I83*I$60)</f>
        <v>65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65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77</v>
      </c>
      <c r="D84" s="12"/>
      <c r="E84" s="10">
        <v>2</v>
      </c>
      <c r="F84" s="10">
        <v>2</v>
      </c>
      <c r="G84" s="10"/>
      <c r="H84" s="10"/>
      <c r="I84" s="10"/>
      <c r="J84" s="11">
        <f>(D84*D$60)+(E84*E$60)+(F84*F$60)+(G84*G$60)+(H84*H$60)+(I84*I$60)</f>
        <v>300</v>
      </c>
      <c r="K84" s="9" t="str">
        <f>IF(D84&gt;=100, 250, IF(D84&gt;=50, 150, IF(D84&gt;=30, 50, "")))</f>
        <v/>
      </c>
      <c r="L84" s="12">
        <f>IF(E84=5, 200, IF(E84=3, 150, IF(E84=2, 50, "")))</f>
        <v>50</v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50</v>
      </c>
      <c r="T84" s="34">
        <f>R84+J84</f>
        <v>350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2265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AI85"/>
  <sheetViews>
    <sheetView topLeftCell="A29" zoomScaleNormal="100" workbookViewId="0">
      <selection activeCell="W37" sqref="W37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0" width="8.88671875" style="3"/>
    <col min="31" max="31" width="10.109375" style="3" bestFit="1" customWidth="1"/>
    <col min="32" max="32" width="8.88671875" style="3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35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5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5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5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5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5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5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5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5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5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5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5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95</v>
      </c>
      <c r="Y28" s="35" t="s">
        <v>96</v>
      </c>
      <c r="Z28" s="35" t="s">
        <v>97</v>
      </c>
      <c r="AA28" s="35" t="s">
        <v>98</v>
      </c>
      <c r="AE28" s="36"/>
      <c r="AF28" s="36" t="s">
        <v>95</v>
      </c>
      <c r="AG28" s="35" t="s">
        <v>96</v>
      </c>
      <c r="AH28" s="35" t="s">
        <v>97</v>
      </c>
      <c r="AI28" s="35" t="s">
        <v>98</v>
      </c>
    </row>
    <row r="29" spans="2:35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91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-4655</v>
      </c>
      <c r="Y29" s="42">
        <f>SUM(Y30:Y37)</f>
        <v>-2955</v>
      </c>
      <c r="Z29" s="42">
        <f>SUM(Z30:Z37)</f>
        <v>4460</v>
      </c>
      <c r="AA29" s="42">
        <f>SUM(AA30:AA37)</f>
        <v>3150</v>
      </c>
      <c r="AE29" s="42" t="s">
        <v>165</v>
      </c>
      <c r="AF29" s="42">
        <v>-4745</v>
      </c>
      <c r="AG29" s="42">
        <v>2405</v>
      </c>
      <c r="AH29" s="42">
        <v>10275</v>
      </c>
      <c r="AI29" s="42">
        <v>-7935</v>
      </c>
    </row>
    <row r="30" spans="2:35" x14ac:dyDescent="0.3">
      <c r="B30" s="66" t="s">
        <v>95</v>
      </c>
      <c r="C30" s="38" t="s">
        <v>203</v>
      </c>
      <c r="D30" s="5">
        <v>1</v>
      </c>
      <c r="E30" s="6"/>
      <c r="F30" s="6"/>
      <c r="G30" s="6"/>
      <c r="H30" s="6"/>
      <c r="I30" s="6"/>
      <c r="J30" s="7">
        <f>(D30*D$60)+(E30*E$60)+(F30*F$60)+(G30*G$60)+(H30*H$60)+(I30*I$60)</f>
        <v>5</v>
      </c>
      <c r="K30" s="15" t="str">
        <f>IF(D30&gt;=100, 250, IF(D30&gt;=50, 150, IF(D30&gt;=30, 50, "")))</f>
        <v/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0</v>
      </c>
      <c r="T30" s="14">
        <f>(R30+J30)*2</f>
        <v>10</v>
      </c>
      <c r="V30" s="28">
        <v>1</v>
      </c>
      <c r="W30" s="29">
        <v>45745</v>
      </c>
      <c r="X30" s="28">
        <v>1625</v>
      </c>
      <c r="Y30" s="28">
        <v>-605</v>
      </c>
      <c r="Z30" s="28">
        <v>-855</v>
      </c>
      <c r="AA30" s="28">
        <v>-165</v>
      </c>
    </row>
    <row r="31" spans="2:35" x14ac:dyDescent="0.3">
      <c r="B31" s="67"/>
      <c r="C31" s="4" t="s">
        <v>204</v>
      </c>
      <c r="D31" s="18">
        <v>33</v>
      </c>
      <c r="E31" s="1"/>
      <c r="F31" s="1">
        <v>2</v>
      </c>
      <c r="G31" s="1"/>
      <c r="H31" s="1">
        <v>2</v>
      </c>
      <c r="I31" s="1"/>
      <c r="J31" s="19">
        <f>(D31*D$60)+(E31*E$60)+(F31*F$60)+(G31*G$60)+(H31*H$60)+(I31*I$60)</f>
        <v>365</v>
      </c>
      <c r="K31" s="15">
        <f>IF(D31&gt;=100, 250, IF(D31&gt;=50, 150, IF(D31&gt;=30, 50, "")))</f>
        <v>50</v>
      </c>
      <c r="L31" s="20" t="str">
        <f>IF(E31=5, 200, IF(E31=3, 150, IF(E31=2, 50, "")))</f>
        <v/>
      </c>
      <c r="M31" s="20" t="str">
        <f>IF(H31=3,100,IF(H31=5,200,""))</f>
        <v/>
      </c>
      <c r="N31" s="20"/>
      <c r="O31" s="20"/>
      <c r="P31" s="1"/>
      <c r="Q31" s="1"/>
      <c r="R31" s="17">
        <f>SUM(K31:Q31)</f>
        <v>50</v>
      </c>
      <c r="T31" s="14">
        <f>R31+J31</f>
        <v>415</v>
      </c>
      <c r="V31" s="28">
        <v>2</v>
      </c>
      <c r="W31" s="44">
        <v>45746</v>
      </c>
      <c r="X31" s="45">
        <v>-770</v>
      </c>
      <c r="Y31" s="45">
        <v>-905</v>
      </c>
      <c r="Z31" s="45">
        <v>-1265</v>
      </c>
      <c r="AA31" s="45">
        <v>2940</v>
      </c>
    </row>
    <row r="32" spans="2:35" x14ac:dyDescent="0.3">
      <c r="B32" s="67"/>
      <c r="C32" s="4" t="s">
        <v>205</v>
      </c>
      <c r="D32" s="18">
        <v>50</v>
      </c>
      <c r="E32" s="1"/>
      <c r="F32" s="1"/>
      <c r="G32" s="1"/>
      <c r="H32" s="1"/>
      <c r="I32" s="1"/>
      <c r="J32" s="19">
        <f>(D32*D$60)+(E32*E$60)+(F32*F$60)+(G32*G$60)+(H32*H$60)+(I32*I$60)</f>
        <v>250</v>
      </c>
      <c r="K32" s="15">
        <f>IF(D32&gt;=100, 250, IF(D32&gt;=50, 150, IF(D32&gt;=30, 50, "")))</f>
        <v>150</v>
      </c>
      <c r="L32" s="20" t="str">
        <f>IF(E32=5, 200, IF(E32=3, 150, IF(E32=2, 50, "")))</f>
        <v/>
      </c>
      <c r="M32" s="20" t="str">
        <f>IF(H32=3,100,IF(H32=5,200,""))</f>
        <v/>
      </c>
      <c r="N32" s="20"/>
      <c r="O32" s="20"/>
      <c r="P32" s="1"/>
      <c r="Q32" s="1"/>
      <c r="R32" s="17">
        <f>SUM(K32:Q32)</f>
        <v>150</v>
      </c>
      <c r="T32" s="14">
        <f>R32+J32</f>
        <v>400</v>
      </c>
      <c r="V32" s="28">
        <v>3</v>
      </c>
      <c r="W32" s="44">
        <v>45746</v>
      </c>
      <c r="X32" s="45">
        <v>-1065</v>
      </c>
      <c r="Y32" s="45">
        <v>-1505</v>
      </c>
      <c r="Z32" s="45">
        <v>-1365</v>
      </c>
      <c r="AA32" s="45">
        <v>3935</v>
      </c>
    </row>
    <row r="33" spans="2:27" x14ac:dyDescent="0.3">
      <c r="B33" s="67"/>
      <c r="C33" s="4" t="s">
        <v>206</v>
      </c>
      <c r="D33" s="18">
        <v>27</v>
      </c>
      <c r="E33" s="1">
        <v>1</v>
      </c>
      <c r="F33" s="1"/>
      <c r="G33" s="1"/>
      <c r="H33" s="1"/>
      <c r="I33" s="1"/>
      <c r="J33" s="19">
        <f>(D33*D$60)+(E33*E$60)+(F33*F$60)+(G33*G$60)+(H33*H$60)+(I33*I$60)</f>
        <v>235</v>
      </c>
      <c r="K33" s="15" t="str">
        <f>IF(D33&gt;=100, 250, IF(D33&gt;=50, 150, IF(D33&gt;=30, 50, "")))</f>
        <v/>
      </c>
      <c r="L33" s="20" t="str">
        <f>IF(E33=5, 200, IF(E33=3, 150, IF(E33=2, 50, "")))</f>
        <v/>
      </c>
      <c r="M33" s="20" t="str">
        <f>IF(H33=3,100,IF(H33=5,200,""))</f>
        <v/>
      </c>
      <c r="N33" s="20"/>
      <c r="O33" s="20"/>
      <c r="P33" s="1"/>
      <c r="Q33" s="1"/>
      <c r="R33" s="17">
        <f>SUM(K33:Q33)</f>
        <v>0</v>
      </c>
      <c r="T33" s="14">
        <f>R33+J33</f>
        <v>235</v>
      </c>
      <c r="V33" s="28">
        <v>4</v>
      </c>
      <c r="W33" s="44">
        <v>45747</v>
      </c>
      <c r="X33" s="45">
        <v>-1615</v>
      </c>
      <c r="Y33" s="45">
        <v>-650</v>
      </c>
      <c r="Z33" s="45">
        <v>3780</v>
      </c>
      <c r="AA33" s="45">
        <v>-1515</v>
      </c>
    </row>
    <row r="34" spans="2:27" ht="15" thickBot="1" x14ac:dyDescent="0.35">
      <c r="B34" s="68"/>
      <c r="C34" s="21" t="s">
        <v>3</v>
      </c>
      <c r="D34" s="9">
        <v>2</v>
      </c>
      <c r="E34" s="10">
        <v>1</v>
      </c>
      <c r="F34" s="10"/>
      <c r="G34" s="10"/>
      <c r="H34" s="10"/>
      <c r="I34" s="10"/>
      <c r="J34" s="11">
        <f>(D34*D$60)+(E34*E$60)+(F34*F$60)+(G34*G$60)+(H34*H$60)+(I34*I$60)</f>
        <v>110</v>
      </c>
      <c r="K34" s="12" t="str">
        <f>IF(D34&gt;=100, 250, IF(D34&gt;=50, 150, IF(D34&gt;=30, 50, "")))</f>
        <v/>
      </c>
      <c r="L34" s="12" t="str">
        <f>IF(E34=5, 200, IF(E34=3, 150, IF(E34=2, 50, "")))</f>
        <v/>
      </c>
      <c r="M34" s="12" t="str">
        <f>IF(H34=3,100,IF(H34=5,200,""))</f>
        <v/>
      </c>
      <c r="N34" s="12"/>
      <c r="O34" s="12"/>
      <c r="P34" s="10"/>
      <c r="Q34" s="10"/>
      <c r="R34" s="13">
        <f>SUM(K34:Q34)</f>
        <v>0</v>
      </c>
      <c r="T34" s="22">
        <f>(R34+J34)</f>
        <v>110</v>
      </c>
      <c r="V34" s="28">
        <v>5</v>
      </c>
      <c r="W34" s="29">
        <v>45748</v>
      </c>
      <c r="X34" s="28">
        <v>-1275</v>
      </c>
      <c r="Y34" s="28">
        <v>2655</v>
      </c>
      <c r="Z34" s="28">
        <v>-1355</v>
      </c>
      <c r="AA34" s="28">
        <v>-25</v>
      </c>
    </row>
    <row r="35" spans="2:27" ht="15" thickBot="1" x14ac:dyDescent="0.35">
      <c r="T35" s="37">
        <f>SUM(T30:T34)</f>
        <v>1170</v>
      </c>
      <c r="V35" s="28">
        <v>6</v>
      </c>
      <c r="W35" s="29">
        <v>45749</v>
      </c>
      <c r="X35" s="28">
        <v>-1340</v>
      </c>
      <c r="Y35" s="28">
        <v>-1360</v>
      </c>
      <c r="Z35" s="28">
        <v>4095</v>
      </c>
      <c r="AA35" s="28">
        <v>-1395</v>
      </c>
    </row>
    <row r="36" spans="2:27" x14ac:dyDescent="0.3">
      <c r="B36" s="66" t="s">
        <v>96</v>
      </c>
      <c r="C36" s="39" t="s">
        <v>60</v>
      </c>
      <c r="D36" s="23">
        <v>4</v>
      </c>
      <c r="E36" s="6"/>
      <c r="F36" s="6"/>
      <c r="G36" s="6"/>
      <c r="H36" s="6"/>
      <c r="I36" s="6"/>
      <c r="J36" s="7">
        <f>(D36*D$60)+(E36*E$60)+(F36*F$60)+(G36*G$60)+(H36*H$60)+(I36*I$60)</f>
        <v>20</v>
      </c>
      <c r="K36" s="5" t="str">
        <f>IF(D36&gt;=100, 250, IF(D36&gt;=50, 150, IF(D36&gt;=30, 50, "")))</f>
        <v/>
      </c>
      <c r="L36" s="23" t="str">
        <f>IF(E36=5, 200, IF(E36=3, 150, IF(E36=2, 50, "")))</f>
        <v/>
      </c>
      <c r="M36" s="23" t="str">
        <f>IF(H36=3,100,IF(H36=5,200,""))</f>
        <v/>
      </c>
      <c r="N36" s="23"/>
      <c r="O36" s="23"/>
      <c r="P36" s="6"/>
      <c r="Q36" s="6"/>
      <c r="R36" s="24">
        <f>SUM(K36:Q36)</f>
        <v>0</v>
      </c>
      <c r="T36" s="33">
        <f>(R36+J36)*2</f>
        <v>40</v>
      </c>
      <c r="V36" s="28">
        <v>7</v>
      </c>
      <c r="W36" s="29">
        <v>45750</v>
      </c>
      <c r="X36" s="28">
        <f>T35-T47</f>
        <v>-215</v>
      </c>
      <c r="Y36" s="28">
        <f>T41-T47</f>
        <v>-585</v>
      </c>
      <c r="Z36" s="28">
        <f>-(X36+Y36+AA36)</f>
        <v>1425</v>
      </c>
      <c r="AA36" s="28">
        <f>T53-T47</f>
        <v>-625</v>
      </c>
    </row>
    <row r="37" spans="2:27" x14ac:dyDescent="0.3">
      <c r="B37" s="67"/>
      <c r="C37" s="19" t="s">
        <v>150</v>
      </c>
      <c r="D37" s="20">
        <v>2</v>
      </c>
      <c r="E37" s="1"/>
      <c r="F37" s="1"/>
      <c r="G37" s="1"/>
      <c r="H37" s="1"/>
      <c r="I37" s="1"/>
      <c r="J37" s="19">
        <f>(D37*D$60)+(E37*E$60)+(F37*F$60)+(G37*G$60)+(H37*H$60)+(I37*I$60)</f>
        <v>10</v>
      </c>
      <c r="K37" s="43" t="str">
        <f>IF(D37&gt;=100, 250, IF(D37&gt;=50, 150, IF(D37&gt;=30, 50, "")))</f>
        <v/>
      </c>
      <c r="L37" s="20" t="str">
        <f>IF(E37=5, 200, IF(E37=3, 150, IF(E37=2, 50, "")))</f>
        <v/>
      </c>
      <c r="M37" s="20" t="str">
        <f>IF(H37=3,100,IF(H37=5,200,""))</f>
        <v/>
      </c>
      <c r="N37" s="20"/>
      <c r="O37" s="20"/>
      <c r="P37" s="1"/>
      <c r="Q37" s="1"/>
      <c r="R37" s="17">
        <f>SUM(K37:Q37)</f>
        <v>0</v>
      </c>
      <c r="T37" s="14">
        <f>R37+J37</f>
        <v>10</v>
      </c>
      <c r="V37" s="28">
        <v>8</v>
      </c>
      <c r="W37" s="29"/>
      <c r="X37" s="28"/>
      <c r="Y37" s="28"/>
      <c r="Z37" s="28"/>
      <c r="AA37" s="28"/>
    </row>
    <row r="38" spans="2:27" x14ac:dyDescent="0.3">
      <c r="B38" s="67"/>
      <c r="C38" s="19" t="s">
        <v>207</v>
      </c>
      <c r="D38" s="20"/>
      <c r="E38" s="1"/>
      <c r="F38" s="1"/>
      <c r="G38" s="1"/>
      <c r="H38" s="1">
        <v>1</v>
      </c>
      <c r="I38" s="1"/>
      <c r="J38" s="19">
        <f>(D38*D$60)+(E38*E$60)+(F38*F$60)+(G38*G$60)+(H38*H$60)+(I38*I$60)</f>
        <v>50</v>
      </c>
      <c r="K38" s="43" t="str">
        <f>IF(D38&gt;=100, 250, IF(D38&gt;=50, 150, IF(D38&gt;=30, 50, "")))</f>
        <v/>
      </c>
      <c r="L38" s="20" t="str">
        <f>IF(E38=5, 200, IF(E38=3, 150, IF(E38=2, 50, "")))</f>
        <v/>
      </c>
      <c r="M38" s="20" t="str">
        <f>IF(H38=3,100,IF(H38=5,200,""))</f>
        <v/>
      </c>
      <c r="N38" s="20"/>
      <c r="O38" s="20"/>
      <c r="P38" s="1"/>
      <c r="Q38" s="1"/>
      <c r="R38" s="17">
        <f>SUM(K38:Q38)</f>
        <v>0</v>
      </c>
      <c r="T38" s="14">
        <f>R38+J38</f>
        <v>50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208</v>
      </c>
      <c r="D39" s="20"/>
      <c r="E39" s="1">
        <v>1</v>
      </c>
      <c r="F39" s="1"/>
      <c r="G39" s="1"/>
      <c r="H39" s="1">
        <v>1</v>
      </c>
      <c r="I39" s="1"/>
      <c r="J39" s="19">
        <f>(D39*D$60)+(E39*E$60)+(F39*F$60)+(G39*G$60)+(H39*H$60)+(I39*I$60)</f>
        <v>150</v>
      </c>
      <c r="K39" s="43" t="str">
        <f>IF(D39&gt;=100, 250, IF(D39&gt;=50, 150, IF(D39&gt;=30, 50, "")))</f>
        <v/>
      </c>
      <c r="L39" s="20" t="str">
        <f>IF(E39=5, 200, IF(E39=3, 150, IF(E39=2, 50, "")))</f>
        <v/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0</v>
      </c>
      <c r="T39" s="14">
        <f>R39+J39</f>
        <v>150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209</v>
      </c>
      <c r="D40" s="12">
        <v>60</v>
      </c>
      <c r="E40" s="10"/>
      <c r="F40" s="10"/>
      <c r="G40" s="10"/>
      <c r="H40" s="10">
        <v>2</v>
      </c>
      <c r="I40" s="10"/>
      <c r="J40" s="11">
        <f>(D40*D$60)+(E40*E$60)+(F40*F$60)+(G40*G$60)+(H40*H$60)+(I40*I$60)</f>
        <v>400</v>
      </c>
      <c r="K40" s="9">
        <f>IF(D40&gt;=100, 250, IF(D40&gt;=50, 150, IF(D40&gt;=30, 50, "")))</f>
        <v>150</v>
      </c>
      <c r="L40" s="12" t="str">
        <f>IF(E40=5, 200, IF(E40=3, 150, IF(E40=2, 50, "")))</f>
        <v/>
      </c>
      <c r="M40" s="12" t="str">
        <f>IF(H40=3,100,IF(H40=5,200,""))</f>
        <v/>
      </c>
      <c r="N40" s="12"/>
      <c r="O40" s="12"/>
      <c r="P40" s="10"/>
      <c r="Q40" s="10"/>
      <c r="R40" s="13">
        <f>SUM(K40:Q40)</f>
        <v>150</v>
      </c>
      <c r="T40" s="34">
        <f>R40+J40</f>
        <v>550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800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49</v>
      </c>
      <c r="D42" s="23">
        <v>7</v>
      </c>
      <c r="E42" s="6">
        <v>1</v>
      </c>
      <c r="F42" s="6"/>
      <c r="G42" s="6"/>
      <c r="H42" s="6">
        <v>1</v>
      </c>
      <c r="I42" s="6"/>
      <c r="J42" s="7">
        <f>(D42*D$60)+(E42*E$60)+(F42*F$60)+(G42*G$60)+(H42*H$60)+(I42*I$60)</f>
        <v>185</v>
      </c>
      <c r="K42" s="5" t="str">
        <f>IF(D42&gt;=100, 250, IF(D42&gt;=50, 150, IF(D42&gt;=30, 50, "")))</f>
        <v/>
      </c>
      <c r="L42" s="23" t="str">
        <f>IF(E42=5, 200, IF(E42=3, 150, IF(E42=2, 50, "")))</f>
        <v/>
      </c>
      <c r="M42" s="23" t="str">
        <f>IF(H42=3,100,IF(H42=5,200,""))</f>
        <v/>
      </c>
      <c r="N42" s="23"/>
      <c r="O42" s="23"/>
      <c r="P42" s="6"/>
      <c r="Q42" s="6"/>
      <c r="R42" s="24">
        <f>SUM(K42:Q42)</f>
        <v>0</v>
      </c>
      <c r="T42" s="33">
        <f>(R42+J42)*2</f>
        <v>370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144</v>
      </c>
      <c r="D43" s="20">
        <v>1</v>
      </c>
      <c r="E43" s="1">
        <v>2</v>
      </c>
      <c r="F43" s="1"/>
      <c r="G43" s="1"/>
      <c r="H43" s="1">
        <v>1</v>
      </c>
      <c r="I43" s="1"/>
      <c r="J43" s="19">
        <f>(D43*D$60)+(E43*E$60)+(F43*F$60)+(G43*G$60)+(H43*H$60)+(I43*I$60)</f>
        <v>255</v>
      </c>
      <c r="K43" s="43" t="str">
        <f>IF(D43&gt;=100, 250, IF(D43&gt;=50, 150, IF(D43&gt;=30, 50, "")))</f>
        <v/>
      </c>
      <c r="L43" s="20">
        <f>IF(E43=5, 200, IF(E43=3, 150, IF(E43=2, 50, "")))</f>
        <v>50</v>
      </c>
      <c r="M43" s="20" t="str">
        <f>IF(H43=3,100,IF(H43=5,200,""))</f>
        <v/>
      </c>
      <c r="N43" s="20"/>
      <c r="O43" s="20"/>
      <c r="P43" s="1"/>
      <c r="Q43" s="1"/>
      <c r="R43" s="17">
        <f>SUM(K43:Q43)</f>
        <v>50</v>
      </c>
      <c r="T43" s="14">
        <f>R43+J43</f>
        <v>305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145</v>
      </c>
      <c r="D44" s="20"/>
      <c r="E44" s="1">
        <v>3</v>
      </c>
      <c r="F44" s="1"/>
      <c r="G44" s="1"/>
      <c r="H44" s="1"/>
      <c r="I44" s="1"/>
      <c r="J44" s="19">
        <f>(D44*D$60)+(E44*E$60)+(F44*F$60)+(G44*G$60)+(H44*H$60)+(I44*I$60)</f>
        <v>300</v>
      </c>
      <c r="K44" s="43" t="str">
        <f>IF(D44&gt;=100, 250, IF(D44&gt;=50, 150, IF(D44&gt;=30, 50, "")))</f>
        <v/>
      </c>
      <c r="L44" s="20">
        <f>IF(E44=5, 200, IF(E44=3, 150, IF(E44=2, 50, "")))</f>
        <v>150</v>
      </c>
      <c r="M44" s="20" t="str">
        <f>IF(H44=3,100,IF(H44=5,200,""))</f>
        <v/>
      </c>
      <c r="N44" s="20"/>
      <c r="O44" s="20"/>
      <c r="P44" s="1"/>
      <c r="Q44" s="1"/>
      <c r="R44" s="17">
        <f>SUM(K44:Q44)</f>
        <v>150</v>
      </c>
      <c r="T44" s="14">
        <f>R44+J44</f>
        <v>450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105</v>
      </c>
      <c r="D45" s="20">
        <v>19</v>
      </c>
      <c r="E45" s="1"/>
      <c r="F45" s="1"/>
      <c r="G45" s="1"/>
      <c r="H45" s="1"/>
      <c r="I45" s="1"/>
      <c r="J45" s="19">
        <f>(D45*D$60)+(E45*E$60)+(F45*F$60)+(G45*G$60)+(H45*H$60)+(I45*I$60)</f>
        <v>95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95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22</v>
      </c>
      <c r="D46" s="12">
        <v>3</v>
      </c>
      <c r="E46" s="10">
        <v>1</v>
      </c>
      <c r="F46" s="10"/>
      <c r="G46" s="10"/>
      <c r="H46" s="10">
        <v>1</v>
      </c>
      <c r="I46" s="10"/>
      <c r="J46" s="11">
        <f>(D46*D$60)+(E46*E$60)+(F46*F$60)+(G46*G$60)+(H46*H$60)+(I46*I$60)</f>
        <v>165</v>
      </c>
      <c r="K46" s="9" t="str">
        <f>IF(D46&gt;=100, 250, IF(D46&gt;=50, 150, IF(D46&gt;=30, 50, "")))</f>
        <v/>
      </c>
      <c r="L46" s="12" t="str">
        <f>IF(E46=5, 200, IF(E46=3, 150, IF(E46=2, 50, "")))</f>
        <v/>
      </c>
      <c r="M46" s="12" t="str">
        <f>IF(H46=3,100,IF(H46=5,200,""))</f>
        <v/>
      </c>
      <c r="N46" s="12"/>
      <c r="O46" s="12"/>
      <c r="P46" s="10"/>
      <c r="Q46" s="10"/>
      <c r="R46" s="13">
        <f>SUM(K46:Q46)</f>
        <v>0</v>
      </c>
      <c r="T46" s="34">
        <f>R46+J46</f>
        <v>165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1385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147</v>
      </c>
      <c r="D48" s="23">
        <v>2</v>
      </c>
      <c r="E48" s="6"/>
      <c r="F48" s="6"/>
      <c r="G48" s="6"/>
      <c r="H48" s="6"/>
      <c r="I48" s="6"/>
      <c r="J48" s="7">
        <f>(D48*D$60)+(E48*E$60)+(F48*F$60)+(G48*G$60)+(H48*H$60)+(I48*I$60)</f>
        <v>10</v>
      </c>
      <c r="K48" s="5" t="str">
        <f>IF(D48&gt;=100, 250, IF(D48&gt;=50, 150, IF(D48&gt;=30, 50, "")))</f>
        <v/>
      </c>
      <c r="L48" s="23" t="str">
        <f>IF(E48=5, 200, IF(E48=3, 150, IF(E48=2, 50, "")))</f>
        <v/>
      </c>
      <c r="M48" s="23" t="str">
        <f>IF(H48=3,100,IF(H48=5,200,""))</f>
        <v/>
      </c>
      <c r="N48" s="23"/>
      <c r="O48" s="23"/>
      <c r="P48" s="6"/>
      <c r="Q48" s="6"/>
      <c r="R48" s="24">
        <f>SUM(K48:Q48)</f>
        <v>0</v>
      </c>
      <c r="T48" s="33">
        <f>(R48+J48)*2</f>
        <v>20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25</v>
      </c>
      <c r="D49" s="20">
        <v>38</v>
      </c>
      <c r="E49" s="1"/>
      <c r="F49" s="1"/>
      <c r="G49" s="1"/>
      <c r="H49" s="1">
        <v>1</v>
      </c>
      <c r="I49" s="1"/>
      <c r="J49" s="19">
        <f>(D49*D$60)+(E49*E$60)+(F49*F$60)+(G49*G$60)+(H49*H$60)+(I49*I$60)</f>
        <v>240</v>
      </c>
      <c r="K49" s="43">
        <f>IF(D49&gt;=100, 250, IF(D49&gt;=50, 150, IF(D49&gt;=30, 50, "")))</f>
        <v>50</v>
      </c>
      <c r="L49" s="20" t="str">
        <f t="shared" ref="L49:L51" si="0">IF(E49=5, 200, IF(E49=3, 150, IF(E49=2, 50, "")))</f>
        <v/>
      </c>
      <c r="M49" s="20" t="str">
        <f>IF(H49=3,100,IF(H49=5,200,""))</f>
        <v/>
      </c>
      <c r="N49" s="20"/>
      <c r="O49" s="20"/>
      <c r="P49" s="1"/>
      <c r="Q49" s="1"/>
      <c r="R49" s="17">
        <f>SUM(K49:Q49)</f>
        <v>50</v>
      </c>
      <c r="T49" s="14">
        <f>R49+J49</f>
        <v>290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48</v>
      </c>
      <c r="D50" s="20">
        <v>14</v>
      </c>
      <c r="E50" s="1">
        <v>1</v>
      </c>
      <c r="F50" s="1"/>
      <c r="G50" s="1"/>
      <c r="H50" s="1"/>
      <c r="I50" s="1"/>
      <c r="J50" s="19">
        <f>(D50*D$60)+(E50*E$60)+(F50*F$60)+(G50*G$60)+(H50*H$60)+(I50*I$60)</f>
        <v>170</v>
      </c>
      <c r="K50" s="43" t="str">
        <f>IF(D50&gt;=100, 250, IF(D50&gt;=50, 150, IF(D50&gt;=30, 50, "")))</f>
        <v/>
      </c>
      <c r="L50" s="20" t="str">
        <f t="shared" si="0"/>
        <v/>
      </c>
      <c r="M50" s="20" t="str">
        <f>IF(H50=3,100,IF(H50=5,200,""))</f>
        <v/>
      </c>
      <c r="N50" s="20"/>
      <c r="O50" s="20"/>
      <c r="P50" s="1"/>
      <c r="Q50" s="1"/>
      <c r="R50" s="17">
        <f>SUM(K50:Q50)</f>
        <v>0</v>
      </c>
      <c r="T50" s="14">
        <f>R50+J50</f>
        <v>170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157</v>
      </c>
      <c r="D51" s="20">
        <v>6</v>
      </c>
      <c r="E51" s="1"/>
      <c r="F51" s="1"/>
      <c r="G51" s="1"/>
      <c r="H51" s="1">
        <v>1</v>
      </c>
      <c r="I51" s="1"/>
      <c r="J51" s="19">
        <f>(D51*D$60)+(E51*E$60)+(F51*F$60)+(G51*G$60)+(H51*H$60)+(I51*I$60)</f>
        <v>80</v>
      </c>
      <c r="K51" s="43" t="str">
        <f>IF(D51&gt;=100, 250, IF(D51&gt;=50, 150, IF(D51&gt;=30, 50, "")))</f>
        <v/>
      </c>
      <c r="L51" s="20" t="str">
        <f t="shared" si="0"/>
        <v/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0</v>
      </c>
      <c r="T51" s="14">
        <f>R51+J51</f>
        <v>80</v>
      </c>
      <c r="V51" s="28"/>
      <c r="W51" s="29"/>
      <c r="X51" s="28"/>
      <c r="Y51" s="28"/>
      <c r="Z51" s="28"/>
      <c r="AA51" s="28"/>
    </row>
    <row r="52" spans="2:27" ht="15" thickBot="1" x14ac:dyDescent="0.35">
      <c r="B52" s="68"/>
      <c r="C52" s="11" t="s">
        <v>140</v>
      </c>
      <c r="D52" s="12"/>
      <c r="E52" s="10">
        <v>1</v>
      </c>
      <c r="F52" s="10"/>
      <c r="G52" s="10"/>
      <c r="H52" s="10">
        <v>2</v>
      </c>
      <c r="I52" s="10"/>
      <c r="J52" s="11">
        <f>(D52*D$60)+(E52*E$60)+(F52*F$60)+(G52*G$60)+(H52*H$60)+(I52*I$60)</f>
        <v>200</v>
      </c>
      <c r="K52" s="9" t="str">
        <f>IF(D52&gt;=100, 250, IF(D52&gt;=50, 150, IF(D52&gt;=30, 50, "")))</f>
        <v/>
      </c>
      <c r="L52" s="12" t="str">
        <f>IF(E52=5, 200, IF(E52=3, 150, IF(E52=2, 50, "")))</f>
        <v/>
      </c>
      <c r="M52" s="12" t="str">
        <f>IF(H52=3,100,IF(H52=5,200,""))</f>
        <v/>
      </c>
      <c r="N52" s="12"/>
      <c r="O52" s="12"/>
      <c r="P52" s="10"/>
      <c r="Q52" s="10"/>
      <c r="R52" s="13">
        <f>SUM(K52:Q52)</f>
        <v>0</v>
      </c>
      <c r="T52" s="34">
        <f>R52+J52</f>
        <v>200</v>
      </c>
      <c r="V52" s="28"/>
      <c r="W52" s="29"/>
      <c r="X52" s="28"/>
      <c r="Y52" s="28"/>
      <c r="Z52" s="28"/>
      <c r="AA52" s="28"/>
    </row>
    <row r="53" spans="2:27" ht="15" thickBot="1" x14ac:dyDescent="0.35">
      <c r="T53" s="37">
        <f>SUM(T48:T52)</f>
        <v>760</v>
      </c>
      <c r="V53" s="28"/>
      <c r="W53" s="29"/>
      <c r="X53" s="28"/>
      <c r="Y53" s="28"/>
      <c r="Z53" s="28"/>
      <c r="AA53" s="28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x14ac:dyDescent="0.3">
      <c r="W58" s="40"/>
    </row>
    <row r="59" spans="2:27" ht="15" thickBot="1" x14ac:dyDescent="0.35">
      <c r="W59" s="40"/>
    </row>
    <row r="60" spans="2:27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</row>
    <row r="61" spans="2:27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SUM(X62:X69)</f>
        <v>-210</v>
      </c>
      <c r="Y61" s="42">
        <f>SUM(Y62:Y69)</f>
        <v>-3015</v>
      </c>
      <c r="Z61" s="42">
        <f>SUM(Z62:Z69)</f>
        <v>-3485</v>
      </c>
      <c r="AA61" s="42">
        <f>SUM(AA62:AA69)</f>
        <v>6710</v>
      </c>
    </row>
    <row r="62" spans="2:27" x14ac:dyDescent="0.3">
      <c r="B62" s="66" t="s">
        <v>95</v>
      </c>
      <c r="C62" s="38" t="s">
        <v>52</v>
      </c>
      <c r="D62" s="5">
        <v>20</v>
      </c>
      <c r="E62" s="6"/>
      <c r="F62" s="6"/>
      <c r="G62" s="6"/>
      <c r="H62" s="6"/>
      <c r="I62" s="6"/>
      <c r="J62" s="7">
        <f>(D62*D$60)+(E62*E$60)+(F62*F$60)+(G62*G$60)+(H62*H$60)+(I62*I$60)</f>
        <v>100</v>
      </c>
      <c r="K62" s="15" t="str">
        <f>IF(D62&gt;=100, 250, IF(D62&gt;=50, 150, IF(D62&gt;=30, 50, "")))</f>
        <v/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0</v>
      </c>
      <c r="T62" s="14">
        <f>(R62+J62)*2</f>
        <v>200</v>
      </c>
      <c r="V62" s="28">
        <v>1</v>
      </c>
      <c r="W62" s="29">
        <v>45745</v>
      </c>
      <c r="X62" s="28">
        <v>1625</v>
      </c>
      <c r="Y62" s="28">
        <v>-605</v>
      </c>
      <c r="Z62" s="28">
        <v>-855</v>
      </c>
      <c r="AA62" s="28">
        <v>-165</v>
      </c>
    </row>
    <row r="63" spans="2:27" x14ac:dyDescent="0.3">
      <c r="B63" s="67"/>
      <c r="C63" s="4" t="s">
        <v>66</v>
      </c>
      <c r="D63" s="18">
        <v>18</v>
      </c>
      <c r="E63" s="1"/>
      <c r="F63" s="1"/>
      <c r="G63" s="1"/>
      <c r="H63" s="1"/>
      <c r="I63" s="1"/>
      <c r="J63" s="19">
        <f>(D63*D$60)+(E63*E$60)+(F63*F$60)+(G63*G$60)+(H63*H$60)+(I63*I$60)</f>
        <v>90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90</v>
      </c>
      <c r="V63" s="28">
        <v>2</v>
      </c>
      <c r="W63" s="44">
        <v>45746</v>
      </c>
      <c r="X63" s="45">
        <v>-770</v>
      </c>
      <c r="Y63" s="45">
        <v>-905</v>
      </c>
      <c r="Z63" s="45">
        <v>-1265</v>
      </c>
      <c r="AA63" s="45">
        <v>2940</v>
      </c>
    </row>
    <row r="64" spans="2:27" x14ac:dyDescent="0.3">
      <c r="B64" s="67"/>
      <c r="C64" s="4" t="s">
        <v>78</v>
      </c>
      <c r="D64" s="18">
        <v>81</v>
      </c>
      <c r="E64" s="1"/>
      <c r="F64" s="1"/>
      <c r="G64" s="1"/>
      <c r="H64" s="1"/>
      <c r="I64" s="1"/>
      <c r="J64" s="19">
        <f>(D64*D$60)+(E64*E$60)+(F64*F$60)+(G64*G$60)+(H64*H$60)+(I64*I$60)</f>
        <v>405</v>
      </c>
      <c r="K64" s="15">
        <f>IF(D64&gt;=100, 250, IF(D64&gt;=50, 150, IF(D64&gt;=30, 50, "")))</f>
        <v>150</v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>
        <v>150</v>
      </c>
      <c r="P64" s="1"/>
      <c r="Q64" s="1"/>
      <c r="R64" s="17">
        <f>SUM(K64:Q64)</f>
        <v>300</v>
      </c>
      <c r="T64" s="14">
        <f>R64+J64</f>
        <v>705</v>
      </c>
      <c r="V64" s="28">
        <v>3</v>
      </c>
      <c r="W64" s="44">
        <v>45746</v>
      </c>
      <c r="X64" s="45">
        <v>-1065</v>
      </c>
      <c r="Y64" s="45">
        <v>-1505</v>
      </c>
      <c r="Z64" s="45">
        <v>-1365</v>
      </c>
      <c r="AA64" s="45">
        <v>3935</v>
      </c>
    </row>
    <row r="65" spans="2:27" x14ac:dyDescent="0.3">
      <c r="B65" s="67"/>
      <c r="C65" s="4" t="s">
        <v>178</v>
      </c>
      <c r="D65" s="18">
        <v>2</v>
      </c>
      <c r="E65" s="1"/>
      <c r="F65" s="1"/>
      <c r="G65" s="1"/>
      <c r="H65" s="1"/>
      <c r="I65" s="1"/>
      <c r="J65" s="19">
        <f>(D65*D$60)+(E65*E$60)+(F65*F$60)+(G65*G$60)+(H65*H$60)+(I65*I$60)</f>
        <v>10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179</v>
      </c>
      <c r="D66" s="9">
        <v>19</v>
      </c>
      <c r="E66" s="10"/>
      <c r="F66" s="10"/>
      <c r="G66" s="10"/>
      <c r="H66" s="10">
        <v>2</v>
      </c>
      <c r="I66" s="10"/>
      <c r="J66" s="11">
        <f>(D66*D$60)+(E66*E$60)+(F66*F$60)+(G66*G$60)+(H66*H$60)+(I66*I$60)</f>
        <v>195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195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1200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180</v>
      </c>
      <c r="D68" s="23">
        <v>4</v>
      </c>
      <c r="E68" s="6"/>
      <c r="F68" s="6"/>
      <c r="G68" s="6"/>
      <c r="H68" s="6">
        <v>1</v>
      </c>
      <c r="I68" s="6"/>
      <c r="J68" s="7">
        <f>(D68*D$60)+(E68*E$60)+(F68*F$60)+(G68*G$60)+(H68*H$60)+(I68*I$60)</f>
        <v>70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140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181</v>
      </c>
      <c r="D69" s="20"/>
      <c r="E69" s="1">
        <v>2</v>
      </c>
      <c r="F69" s="1"/>
      <c r="G69" s="1"/>
      <c r="H69" s="1">
        <v>1</v>
      </c>
      <c r="I69" s="1"/>
      <c r="J69" s="19">
        <f>(D69*D$60)+(E69*E$60)+(F69*F$60)+(G69*G$60)+(H69*H$60)+(I69*I$60)</f>
        <v>250</v>
      </c>
      <c r="K69" s="43" t="str">
        <f>IF(D69&gt;=100, 250, IF(D69&gt;=50, 150, IF(D69&gt;=30, 50, "")))</f>
        <v/>
      </c>
      <c r="L69" s="20">
        <f>IF(E69=5, 200, IF(E69=3, 150, IF(E69=2, 50, "")))</f>
        <v>50</v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300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182</v>
      </c>
      <c r="D70" s="20">
        <v>23</v>
      </c>
      <c r="E70" s="1"/>
      <c r="F70" s="1"/>
      <c r="G70" s="1"/>
      <c r="H70" s="1"/>
      <c r="I70" s="1"/>
      <c r="J70" s="19">
        <f>(D70*D$60)+(E70*E$60)+(F70*F$60)+(G70*G$60)+(H70*H$60)+(I70*I$60)</f>
        <v>115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115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68</v>
      </c>
      <c r="D71" s="20"/>
      <c r="E71" s="1">
        <v>1</v>
      </c>
      <c r="F71" s="1"/>
      <c r="G71" s="1"/>
      <c r="H71" s="1">
        <v>2</v>
      </c>
      <c r="I71" s="1"/>
      <c r="J71" s="19">
        <f>(D71*D$60)+(E71*E$60)+(F71*F$60)+(G71*G$60)+(H71*H$60)+(I71*I$60)</f>
        <v>200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200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80</v>
      </c>
      <c r="D72" s="12">
        <v>1</v>
      </c>
      <c r="E72" s="10"/>
      <c r="F72" s="10"/>
      <c r="G72" s="10"/>
      <c r="H72" s="10"/>
      <c r="I72" s="10"/>
      <c r="J72" s="11">
        <f>(D72*D$60)+(E72*E$60)+(F72*F$60)+(G72*G$60)+(H72*H$60)+(I72*I$60)</f>
        <v>5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5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760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183</v>
      </c>
      <c r="D74" s="23">
        <v>0</v>
      </c>
      <c r="E74" s="6"/>
      <c r="F74" s="6"/>
      <c r="G74" s="6"/>
      <c r="H74" s="6">
        <v>1</v>
      </c>
      <c r="I74" s="6">
        <v>1</v>
      </c>
      <c r="J74" s="7">
        <f>(D74*D$60)+(E74*E$60)+(F74*F$60)+(G74*G$60)+(H74*H$60)+(I74*I$60)</f>
        <v>0</v>
      </c>
      <c r="K74" s="5" t="str">
        <f>IF(D74&gt;=100, 250, IF(D74&gt;=50, 150, IF(D74&gt;=30, 50, "")))</f>
        <v/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0</v>
      </c>
      <c r="T74" s="33">
        <f>(R74+J74)*2</f>
        <v>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61</v>
      </c>
      <c r="D75" s="20">
        <v>37</v>
      </c>
      <c r="E75" s="1"/>
      <c r="F75" s="1"/>
      <c r="G75" s="1"/>
      <c r="H75" s="1">
        <v>1</v>
      </c>
      <c r="I75" s="1"/>
      <c r="J75" s="19">
        <f>(D75*D$60)+(E75*E$60)+(F75*F$60)+(G75*G$60)+(H75*H$60)+(I75*I$60)</f>
        <v>235</v>
      </c>
      <c r="K75" s="43">
        <f>IF(D75&gt;=100, 250, IF(D75&gt;=50, 150, IF(D75&gt;=30, 50, "")))</f>
        <v>50</v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50</v>
      </c>
      <c r="T75" s="14">
        <f>R75+J75</f>
        <v>285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59</v>
      </c>
      <c r="D76" s="20">
        <v>32</v>
      </c>
      <c r="E76" s="1">
        <v>1</v>
      </c>
      <c r="F76" s="1"/>
      <c r="G76" s="1"/>
      <c r="H76" s="1"/>
      <c r="I76" s="1"/>
      <c r="J76" s="19">
        <f>(D76*D$60)+(E76*E$60)+(F76*F$60)+(G76*G$60)+(H76*H$60)+(I76*I$60)</f>
        <v>260</v>
      </c>
      <c r="K76" s="43">
        <f>IF(D76&gt;=100, 250, IF(D76&gt;=50, 150, IF(D76&gt;=30, 50, "")))</f>
        <v>50</v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50</v>
      </c>
      <c r="T76" s="14">
        <f>R76+J76</f>
        <v>310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184</v>
      </c>
      <c r="D77" s="20">
        <v>11</v>
      </c>
      <c r="E77" s="1"/>
      <c r="F77" s="1"/>
      <c r="G77" s="1"/>
      <c r="H77" s="1"/>
      <c r="I77" s="1"/>
      <c r="J77" s="19">
        <f>(D77*D$60)+(E77*E$60)+(F77*F$60)+(G77*G$60)+(H77*H$60)+(I77*I$60)</f>
        <v>55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55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141</v>
      </c>
      <c r="D78" s="12">
        <v>0</v>
      </c>
      <c r="E78" s="10">
        <v>1</v>
      </c>
      <c r="F78" s="10"/>
      <c r="G78" s="10"/>
      <c r="H78" s="10"/>
      <c r="I78" s="10">
        <v>1</v>
      </c>
      <c r="J78" s="11">
        <f>(D78*D$60)+(E78*E$60)+(F78*F$60)+(G78*G$60)+(H78*H$60)+(I78*I$60)</f>
        <v>50</v>
      </c>
      <c r="K78" s="9" t="str">
        <f>IF(D78&gt;=100, 250, IF(D78&gt;=50, 150, IF(D78&gt;=30, 50, "")))</f>
        <v/>
      </c>
      <c r="L78" s="12" t="str">
        <f>IF(E78=5, 200, IF(E78=3, 150, IF(E78=2, 50, "")))</f>
        <v/>
      </c>
      <c r="M78" s="12" t="str">
        <f>IF(H78=3,100,IF(H78=5,200,""))</f>
        <v/>
      </c>
      <c r="N78" s="12"/>
      <c r="O78" s="12"/>
      <c r="P78" s="10"/>
      <c r="Q78" s="10">
        <v>200</v>
      </c>
      <c r="R78" s="13">
        <f>SUM(K78:Q78)</f>
        <v>200</v>
      </c>
      <c r="T78" s="34">
        <f>R78+J78</f>
        <v>250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900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72</v>
      </c>
      <c r="D80" s="23">
        <v>63</v>
      </c>
      <c r="E80" s="6"/>
      <c r="F80" s="6"/>
      <c r="G80" s="6"/>
      <c r="H80" s="6">
        <v>1</v>
      </c>
      <c r="I80" s="6"/>
      <c r="J80" s="7">
        <f>(D80*D$60)+(E80*E$60)+(F80*F$60)+(G80*G$60)+(H80*H$60)+(I80*I$60)</f>
        <v>365</v>
      </c>
      <c r="K80" s="5">
        <f>IF(D80&gt;=100, 250, IF(D80&gt;=50, 150, IF(D80&gt;=30, 50, "")))</f>
        <v>150</v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150</v>
      </c>
      <c r="T80" s="33">
        <f>(R80+J80)*2</f>
        <v>1030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26</v>
      </c>
      <c r="D81" s="20"/>
      <c r="E81" s="1">
        <v>2</v>
      </c>
      <c r="F81" s="1"/>
      <c r="G81" s="1"/>
      <c r="H81" s="1"/>
      <c r="I81" s="1"/>
      <c r="J81" s="19">
        <f>(D81*D$60)+(E81*E$60)+(F81*F$60)+(G81*G$60)+(H81*H$60)+(I81*I$60)</f>
        <v>200</v>
      </c>
      <c r="K81" s="43" t="str">
        <f>IF(D81&gt;=100, 250, IF(D81&gt;=50, 150, IF(D81&gt;=30, 50, "")))</f>
        <v/>
      </c>
      <c r="L81" s="20">
        <f>IF(E81=5, 200, IF(E81=3, 150, IF(E81=2, 50, "")))</f>
        <v>50</v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50</v>
      </c>
      <c r="T81" s="14">
        <f>R81+J81</f>
        <v>250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139</v>
      </c>
      <c r="D82" s="20">
        <v>4</v>
      </c>
      <c r="E82" s="1">
        <v>4</v>
      </c>
      <c r="F82" s="1"/>
      <c r="G82" s="1"/>
      <c r="H82" s="1"/>
      <c r="I82" s="1"/>
      <c r="J82" s="19">
        <f>(D82*D$60)+(E82*E$60)+(F82*F$60)+(G82*G$60)+(H82*H$60)+(I82*I$60)</f>
        <v>420</v>
      </c>
      <c r="K82" s="43" t="str">
        <f>IF(D82&gt;=100, 250, IF(D82&gt;=50, 150, IF(D82&gt;=30, 50, "")))</f>
        <v/>
      </c>
      <c r="L82" s="20">
        <v>150</v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150</v>
      </c>
      <c r="T82" s="14">
        <f>R82+J82</f>
        <v>570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109</v>
      </c>
      <c r="D83" s="20">
        <v>3</v>
      </c>
      <c r="E83" s="1"/>
      <c r="F83" s="1"/>
      <c r="G83" s="1"/>
      <c r="H83" s="1">
        <v>1</v>
      </c>
      <c r="I83" s="1"/>
      <c r="J83" s="19">
        <f>(D83*D$60)+(E83*E$60)+(F83*F$60)+(G83*G$60)+(H83*H$60)+(I83*I$60)</f>
        <v>65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65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77</v>
      </c>
      <c r="D84" s="12"/>
      <c r="E84" s="10">
        <v>2</v>
      </c>
      <c r="F84" s="10">
        <v>2</v>
      </c>
      <c r="G84" s="10"/>
      <c r="H84" s="10"/>
      <c r="I84" s="10"/>
      <c r="J84" s="11">
        <f>(D84*D$60)+(E84*E$60)+(F84*F$60)+(G84*G$60)+(H84*H$60)+(I84*I$60)</f>
        <v>300</v>
      </c>
      <c r="K84" s="9" t="str">
        <f>IF(D84&gt;=100, 250, IF(D84&gt;=50, 150, IF(D84&gt;=30, 50, "")))</f>
        <v/>
      </c>
      <c r="L84" s="12">
        <f>IF(E84=5, 200, IF(E84=3, 150, IF(E84=2, 50, "")))</f>
        <v>50</v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50</v>
      </c>
      <c r="T84" s="34">
        <f>R84+J84</f>
        <v>350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2265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AI85"/>
  <sheetViews>
    <sheetView topLeftCell="B1" zoomScale="90" zoomScaleNormal="90" workbookViewId="0">
      <selection activeCell="V28" sqref="V28:AA37"/>
    </sheetView>
  </sheetViews>
  <sheetFormatPr defaultColWidth="8.88671875" defaultRowHeight="14.4" x14ac:dyDescent="0.3"/>
  <cols>
    <col min="1" max="1" width="4.109375" style="3" customWidth="1"/>
    <col min="2" max="2" width="7.6640625" style="2" customWidth="1"/>
    <col min="3" max="3" width="9.109375" style="2" customWidth="1"/>
    <col min="4" max="10" width="5.6640625" style="2" customWidth="1"/>
    <col min="11" max="11" width="6.33203125" style="2" customWidth="1"/>
    <col min="12" max="17" width="5.6640625" style="2" customWidth="1"/>
    <col min="18" max="18" width="5.6640625" style="3" customWidth="1"/>
    <col min="19" max="19" width="2.88671875" style="3" customWidth="1"/>
    <col min="20" max="21" width="8.88671875" style="3"/>
    <col min="22" max="22" width="10.6640625" style="3" bestFit="1" customWidth="1"/>
    <col min="23" max="23" width="11.33203125" style="3" bestFit="1" customWidth="1"/>
    <col min="24" max="30" width="8.88671875" style="3"/>
    <col min="31" max="31" width="10.109375" style="3" bestFit="1" customWidth="1"/>
    <col min="32" max="32" width="10.33203125" style="3" bestFit="1" customWidth="1"/>
    <col min="33" max="33" width="13" style="3" bestFit="1" customWidth="1"/>
    <col min="34" max="34" width="13.44140625" style="3" bestFit="1" customWidth="1"/>
    <col min="35" max="16384" width="8.88671875" style="3"/>
  </cols>
  <sheetData>
    <row r="3" s="3" customFormat="1" x14ac:dyDescent="0.3"/>
    <row r="4" s="3" customFormat="1" ht="15" thickBot="1" x14ac:dyDescent="0.35"/>
    <row r="5" s="3" customFormat="1" ht="15" hidden="1" thickBot="1" x14ac:dyDescent="0.35"/>
    <row r="6" s="3" customFormat="1" ht="15" hidden="1" thickBot="1" x14ac:dyDescent="0.35"/>
    <row r="7" s="3" customFormat="1" ht="15" hidden="1" thickBot="1" x14ac:dyDescent="0.35"/>
    <row r="8" s="3" customFormat="1" ht="15" hidden="1" thickBot="1" x14ac:dyDescent="0.35"/>
    <row r="9" s="3" customFormat="1" ht="15" hidden="1" thickBot="1" x14ac:dyDescent="0.35"/>
    <row r="10" s="3" customFormat="1" ht="15" hidden="1" thickBot="1" x14ac:dyDescent="0.35"/>
    <row r="11" s="3" customFormat="1" ht="15" hidden="1" thickBot="1" x14ac:dyDescent="0.35"/>
    <row r="12" s="3" customFormat="1" ht="15" hidden="1" thickBot="1" x14ac:dyDescent="0.35"/>
    <row r="13" s="3" customFormat="1" ht="15" hidden="1" thickBot="1" x14ac:dyDescent="0.35"/>
    <row r="14" s="3" customFormat="1" ht="15" hidden="1" thickBot="1" x14ac:dyDescent="0.35"/>
    <row r="15" s="3" customFormat="1" ht="15" hidden="1" thickBot="1" x14ac:dyDescent="0.35"/>
    <row r="16" s="3" customFormat="1" ht="15" hidden="1" thickBot="1" x14ac:dyDescent="0.35"/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27.6" x14ac:dyDescent="0.3">
      <c r="B28" s="5"/>
      <c r="C28" s="7"/>
      <c r="D28" s="5">
        <v>5</v>
      </c>
      <c r="E28" s="6">
        <v>100</v>
      </c>
      <c r="F28" s="6">
        <v>50</v>
      </c>
      <c r="G28" s="6">
        <v>50</v>
      </c>
      <c r="H28" s="6">
        <v>50</v>
      </c>
      <c r="I28" s="6">
        <v>-50</v>
      </c>
      <c r="J28" s="30"/>
      <c r="K28" s="5" t="s">
        <v>1</v>
      </c>
      <c r="L28" s="6" t="s">
        <v>10</v>
      </c>
      <c r="M28" s="31" t="s">
        <v>14</v>
      </c>
      <c r="N28" s="31" t="s">
        <v>15</v>
      </c>
      <c r="O28" s="6" t="s">
        <v>8</v>
      </c>
      <c r="P28" s="32" t="s">
        <v>9</v>
      </c>
      <c r="Q28" s="6" t="s">
        <v>13</v>
      </c>
      <c r="R28" s="7"/>
      <c r="S28" s="2"/>
      <c r="T28" s="8" t="s">
        <v>0</v>
      </c>
      <c r="V28" s="35" t="s">
        <v>12</v>
      </c>
      <c r="W28" s="35" t="s">
        <v>4</v>
      </c>
      <c r="X28" s="36" t="s">
        <v>211</v>
      </c>
      <c r="Y28" s="35" t="s">
        <v>96</v>
      </c>
      <c r="Z28" s="35" t="s">
        <v>97</v>
      </c>
      <c r="AA28" s="35" t="s">
        <v>98</v>
      </c>
    </row>
    <row r="29" spans="2:27" ht="36.6" thickBot="1" x14ac:dyDescent="0.35">
      <c r="B29" s="9" t="s">
        <v>5</v>
      </c>
      <c r="C29" s="11" t="s">
        <v>6</v>
      </c>
      <c r="D29" s="9" t="s">
        <v>1</v>
      </c>
      <c r="E29" s="10" t="s">
        <v>10</v>
      </c>
      <c r="F29" s="10" t="s">
        <v>11</v>
      </c>
      <c r="G29" s="10" t="s">
        <v>17</v>
      </c>
      <c r="H29" s="10" t="s">
        <v>2</v>
      </c>
      <c r="I29" s="10" t="s">
        <v>7</v>
      </c>
      <c r="J29" s="21" t="s">
        <v>0</v>
      </c>
      <c r="K29" s="25" t="s">
        <v>90</v>
      </c>
      <c r="L29" s="27" t="s">
        <v>216</v>
      </c>
      <c r="M29" s="26" t="s">
        <v>92</v>
      </c>
      <c r="N29" s="26" t="s">
        <v>33</v>
      </c>
      <c r="O29" s="27" t="s">
        <v>93</v>
      </c>
      <c r="P29" s="26" t="s">
        <v>94</v>
      </c>
      <c r="Q29" s="27">
        <v>200</v>
      </c>
      <c r="R29" s="13" t="s">
        <v>0</v>
      </c>
      <c r="T29" s="14"/>
      <c r="V29" s="41"/>
      <c r="W29" s="42" t="s">
        <v>0</v>
      </c>
      <c r="X29" s="42">
        <f>SUM(X30:X37)</f>
        <v>-5315</v>
      </c>
      <c r="Y29" s="42">
        <f>SUM(Y30:Y37)</f>
        <v>-3535</v>
      </c>
      <c r="Z29" s="42">
        <f>SUM(Z30:Z37)</f>
        <v>5950</v>
      </c>
      <c r="AA29" s="42">
        <f>SUM(AA30:AA37)</f>
        <v>2900</v>
      </c>
    </row>
    <row r="30" spans="2:27" x14ac:dyDescent="0.3">
      <c r="B30" s="66" t="s">
        <v>211</v>
      </c>
      <c r="C30" s="38" t="s">
        <v>53</v>
      </c>
      <c r="D30" s="5">
        <v>12</v>
      </c>
      <c r="E30" s="6"/>
      <c r="F30" s="6"/>
      <c r="G30" s="6"/>
      <c r="H30" s="6"/>
      <c r="I30" s="6"/>
      <c r="J30" s="7">
        <f>(D30*D$60)+(E30*E$60)+(F30*F$60)+(G30*G$60)+(H30*H$60)+(I30*I$60)</f>
        <v>60</v>
      </c>
      <c r="K30" s="15" t="str">
        <f>IF(D30&gt;=100, 250, IF(D30&gt;=50, 150, IF(D30&gt;=30, 50, "")))</f>
        <v/>
      </c>
      <c r="L30" s="15" t="str">
        <f>IF(E30=5, 200, IF(E30=3, 150, IF(E30=2, 50, "")))</f>
        <v/>
      </c>
      <c r="M30" s="15" t="str">
        <f>IF(H30=3,100,IF(H30=5,200,""))</f>
        <v/>
      </c>
      <c r="N30" s="15"/>
      <c r="O30" s="15"/>
      <c r="P30" s="16"/>
      <c r="Q30" s="16"/>
      <c r="R30" s="17">
        <f>SUM(K30:Q30)</f>
        <v>0</v>
      </c>
      <c r="T30" s="14">
        <f>(R30+J30)*2</f>
        <v>120</v>
      </c>
      <c r="V30" s="28">
        <v>1</v>
      </c>
      <c r="W30" s="29">
        <v>45745</v>
      </c>
      <c r="X30" s="28">
        <v>1625</v>
      </c>
      <c r="Y30" s="28">
        <v>-605</v>
      </c>
      <c r="Z30" s="28">
        <v>-855</v>
      </c>
      <c r="AA30" s="28">
        <v>-165</v>
      </c>
    </row>
    <row r="31" spans="2:27" x14ac:dyDescent="0.3">
      <c r="B31" s="67"/>
      <c r="C31" s="4" t="s">
        <v>70</v>
      </c>
      <c r="D31" s="18">
        <v>67</v>
      </c>
      <c r="E31" s="1"/>
      <c r="F31" s="1"/>
      <c r="G31" s="1"/>
      <c r="H31" s="1"/>
      <c r="I31" s="1"/>
      <c r="J31" s="19">
        <f>(D31*D$60)+(E31*E$60)+(F31*F$60)+(G31*G$60)+(H31*H$60)+(I31*I$60)</f>
        <v>335</v>
      </c>
      <c r="K31" s="15">
        <f>IF(D31&gt;=100, 250, IF(D31&gt;=50, 150, IF(D31&gt;=30, 50, "")))</f>
        <v>150</v>
      </c>
      <c r="L31" s="20" t="str">
        <f>IF(E31=5, 200, IF(E31=3, 150, IF(E31=2, 50, "")))</f>
        <v/>
      </c>
      <c r="M31" s="20" t="str">
        <f>IF(H31=3,100,IF(H31=5,200,""))</f>
        <v/>
      </c>
      <c r="N31" s="20"/>
      <c r="O31" s="20"/>
      <c r="P31" s="1"/>
      <c r="Q31" s="1"/>
      <c r="R31" s="17">
        <f>SUM(K31:Q31)</f>
        <v>150</v>
      </c>
      <c r="T31" s="14">
        <f>R31+J31</f>
        <v>485</v>
      </c>
      <c r="V31" s="28">
        <v>2</v>
      </c>
      <c r="W31" s="44">
        <v>45746</v>
      </c>
      <c r="X31" s="45">
        <v>-770</v>
      </c>
      <c r="Y31" s="45">
        <v>-905</v>
      </c>
      <c r="Z31" s="45">
        <v>-1265</v>
      </c>
      <c r="AA31" s="45">
        <v>2940</v>
      </c>
    </row>
    <row r="32" spans="2:27" x14ac:dyDescent="0.3">
      <c r="B32" s="67"/>
      <c r="C32" s="4" t="s">
        <v>51</v>
      </c>
      <c r="D32" s="18"/>
      <c r="E32" s="1">
        <v>1</v>
      </c>
      <c r="F32" s="1"/>
      <c r="G32" s="1"/>
      <c r="H32" s="1"/>
      <c r="I32" s="1"/>
      <c r="J32" s="19">
        <f>(D32*D$60)+(E32*E$60)+(F32*F$60)+(G32*G$60)+(H32*H$60)+(I32*I$60)</f>
        <v>100</v>
      </c>
      <c r="K32" s="15" t="str">
        <f>IF(D32&gt;=100, 250, IF(D32&gt;=50, 150, IF(D32&gt;=30, 50, "")))</f>
        <v/>
      </c>
      <c r="L32" s="20" t="str">
        <f>IF(E32=5, 200, IF(E32=3, 150, IF(E32=2, 50, "")))</f>
        <v/>
      </c>
      <c r="M32" s="20" t="str">
        <f>IF(H32=3,100,IF(H32=5,200,""))</f>
        <v/>
      </c>
      <c r="N32" s="20"/>
      <c r="O32" s="20"/>
      <c r="P32" s="1"/>
      <c r="Q32" s="1"/>
      <c r="R32" s="17">
        <f>SUM(K32:Q32)</f>
        <v>0</v>
      </c>
      <c r="T32" s="14">
        <f>R32+J32</f>
        <v>100</v>
      </c>
      <c r="V32" s="28">
        <v>3</v>
      </c>
      <c r="W32" s="44">
        <v>45746</v>
      </c>
      <c r="X32" s="45">
        <v>-1065</v>
      </c>
      <c r="Y32" s="45">
        <v>-1505</v>
      </c>
      <c r="Z32" s="45">
        <v>-1365</v>
      </c>
      <c r="AA32" s="45">
        <v>3935</v>
      </c>
    </row>
    <row r="33" spans="2:27" x14ac:dyDescent="0.3">
      <c r="B33" s="67"/>
      <c r="C33" s="4" t="s">
        <v>212</v>
      </c>
      <c r="D33" s="18"/>
      <c r="E33" s="1">
        <v>1</v>
      </c>
      <c r="F33" s="1"/>
      <c r="G33" s="1"/>
      <c r="H33" s="1"/>
      <c r="I33" s="1"/>
      <c r="J33" s="19">
        <f>(D33*D$60)+(E33*E$60)+(F33*F$60)+(G33*G$60)+(H33*H$60)+(I33*I$60)</f>
        <v>100</v>
      </c>
      <c r="K33" s="15" t="str">
        <f>IF(D33&gt;=100, 250, IF(D33&gt;=50, 150, IF(D33&gt;=30, 50, "")))</f>
        <v/>
      </c>
      <c r="L33" s="20" t="str">
        <f>IF(E33=5, 200, IF(E33=3, 150, IF(E33=2, 50, "")))</f>
        <v/>
      </c>
      <c r="M33" s="20" t="str">
        <f>IF(H33=3,100,IF(H33=5,200,""))</f>
        <v/>
      </c>
      <c r="N33" s="20"/>
      <c r="O33" s="20"/>
      <c r="P33" s="1"/>
      <c r="Q33" s="1"/>
      <c r="R33" s="17">
        <f>SUM(K33:Q33)</f>
        <v>0</v>
      </c>
      <c r="T33" s="14">
        <f>R33+J33</f>
        <v>100</v>
      </c>
      <c r="V33" s="28">
        <v>4</v>
      </c>
      <c r="W33" s="44">
        <v>45747</v>
      </c>
      <c r="X33" s="45">
        <v>-1615</v>
      </c>
      <c r="Y33" s="45">
        <v>-650</v>
      </c>
      <c r="Z33" s="45">
        <v>3780</v>
      </c>
      <c r="AA33" s="45">
        <v>-1515</v>
      </c>
    </row>
    <row r="34" spans="2:27" ht="15" thickBot="1" x14ac:dyDescent="0.35">
      <c r="B34" s="68"/>
      <c r="C34" s="21" t="s">
        <v>88</v>
      </c>
      <c r="D34" s="9">
        <v>2</v>
      </c>
      <c r="E34" s="10"/>
      <c r="F34" s="10"/>
      <c r="G34" s="10"/>
      <c r="H34" s="10">
        <v>1</v>
      </c>
      <c r="I34" s="10"/>
      <c r="J34" s="11">
        <f>(D34*D$60)+(E34*E$60)+(F34*F$60)+(G34*G$60)+(H34*H$60)+(I34*I$60)</f>
        <v>60</v>
      </c>
      <c r="K34" s="12" t="str">
        <f>IF(D34&gt;=100, 250, IF(D34&gt;=50, 150, IF(D34&gt;=30, 50, "")))</f>
        <v/>
      </c>
      <c r="L34" s="12" t="str">
        <f>IF(E34=5, 200, IF(E34=3, 150, IF(E34=2, 50, "")))</f>
        <v/>
      </c>
      <c r="M34" s="12" t="str">
        <f>IF(H34=3,100,IF(H34=5,200,""))</f>
        <v/>
      </c>
      <c r="N34" s="12"/>
      <c r="O34" s="12"/>
      <c r="P34" s="10"/>
      <c r="Q34" s="10"/>
      <c r="R34" s="13">
        <f>SUM(K34:Q34)</f>
        <v>0</v>
      </c>
      <c r="T34" s="22">
        <f>(R34+J34)</f>
        <v>60</v>
      </c>
      <c r="V34" s="28">
        <v>5</v>
      </c>
      <c r="W34" s="29">
        <v>45748</v>
      </c>
      <c r="X34" s="28">
        <v>-1275</v>
      </c>
      <c r="Y34" s="28">
        <v>2655</v>
      </c>
      <c r="Z34" s="28">
        <v>-1355</v>
      </c>
      <c r="AA34" s="28">
        <v>-25</v>
      </c>
    </row>
    <row r="35" spans="2:27" ht="15" thickBot="1" x14ac:dyDescent="0.35">
      <c r="T35" s="37">
        <f>SUM(T30:T34)</f>
        <v>865</v>
      </c>
      <c r="V35" s="28">
        <v>6</v>
      </c>
      <c r="W35" s="29">
        <v>45749</v>
      </c>
      <c r="X35" s="28">
        <v>-1340</v>
      </c>
      <c r="Y35" s="28">
        <v>-1360</v>
      </c>
      <c r="Z35" s="28">
        <v>4095</v>
      </c>
      <c r="AA35" s="28">
        <v>-1395</v>
      </c>
    </row>
    <row r="36" spans="2:27" x14ac:dyDescent="0.3">
      <c r="B36" s="66" t="s">
        <v>96</v>
      </c>
      <c r="C36" s="39" t="s">
        <v>111</v>
      </c>
      <c r="D36" s="23">
        <v>10</v>
      </c>
      <c r="E36" s="6"/>
      <c r="F36" s="6"/>
      <c r="G36" s="6"/>
      <c r="H36" s="6">
        <v>1</v>
      </c>
      <c r="I36" s="6"/>
      <c r="J36" s="7">
        <f>(D36*D$60)+(E36*E$60)+(F36*F$60)+(G36*G$60)+(H36*H$60)+(I36*I$60)</f>
        <v>100</v>
      </c>
      <c r="K36" s="5" t="str">
        <f>IF(D36&gt;=100, 250, IF(D36&gt;=50, 150, IF(D36&gt;=30, 50, "")))</f>
        <v/>
      </c>
      <c r="L36" s="23" t="str">
        <f>IF(E36=5, 200, IF(E36=3, 150, IF(E36=2, 50, "")))</f>
        <v/>
      </c>
      <c r="M36" s="23" t="str">
        <f>IF(H36=3,100,IF(H36=5,200,""))</f>
        <v/>
      </c>
      <c r="N36" s="23"/>
      <c r="O36" s="23"/>
      <c r="P36" s="6"/>
      <c r="Q36" s="6"/>
      <c r="R36" s="24">
        <f>SUM(K36:Q36)</f>
        <v>0</v>
      </c>
      <c r="T36" s="33">
        <f>(R36+J36)*2</f>
        <v>200</v>
      </c>
      <c r="V36" s="28">
        <v>7</v>
      </c>
      <c r="W36" s="29">
        <v>45750</v>
      </c>
      <c r="X36" s="28">
        <v>-215</v>
      </c>
      <c r="Y36" s="28">
        <v>-585</v>
      </c>
      <c r="Z36" s="28">
        <v>1425</v>
      </c>
      <c r="AA36" s="28">
        <v>-625</v>
      </c>
    </row>
    <row r="37" spans="2:27" x14ac:dyDescent="0.3">
      <c r="B37" s="67"/>
      <c r="C37" s="19" t="s">
        <v>55</v>
      </c>
      <c r="D37" s="20">
        <v>25</v>
      </c>
      <c r="E37" s="1"/>
      <c r="F37" s="1"/>
      <c r="G37" s="1"/>
      <c r="H37" s="1"/>
      <c r="I37" s="1"/>
      <c r="J37" s="19">
        <f>(D37*D$60)+(E37*E$60)+(F37*F$60)+(G37*G$60)+(H37*H$60)+(I37*I$60)</f>
        <v>125</v>
      </c>
      <c r="K37" s="43" t="str">
        <f>IF(D37&gt;=100, 250, IF(D37&gt;=50, 150, IF(D37&gt;=30, 50, "")))</f>
        <v/>
      </c>
      <c r="L37" s="20" t="str">
        <f>IF(E37=5, 200, IF(E37=3, 150, IF(E37=2, 50, "")))</f>
        <v/>
      </c>
      <c r="M37" s="20" t="str">
        <f>IF(H37=3,100,IF(H37=5,200,""))</f>
        <v/>
      </c>
      <c r="N37" s="20"/>
      <c r="O37" s="20"/>
      <c r="P37" s="1"/>
      <c r="Q37" s="1"/>
      <c r="R37" s="17">
        <f>SUM(K37:Q37)</f>
        <v>0</v>
      </c>
      <c r="T37" s="14">
        <f>R37+J37</f>
        <v>125</v>
      </c>
      <c r="V37" s="28">
        <v>8</v>
      </c>
      <c r="W37" s="29">
        <v>45751</v>
      </c>
      <c r="X37" s="28">
        <f>T35-T47</f>
        <v>-660</v>
      </c>
      <c r="Y37" s="28">
        <f>T41-T53</f>
        <v>-580</v>
      </c>
      <c r="Z37" s="28">
        <f>-(X37+Y37+AA37)</f>
        <v>1490</v>
      </c>
      <c r="AA37" s="28">
        <f>T53-T47</f>
        <v>-250</v>
      </c>
    </row>
    <row r="38" spans="2:27" x14ac:dyDescent="0.3">
      <c r="B38" s="67"/>
      <c r="C38" s="19" t="s">
        <v>117</v>
      </c>
      <c r="D38" s="20">
        <v>5</v>
      </c>
      <c r="E38" s="1">
        <v>1</v>
      </c>
      <c r="F38" s="1"/>
      <c r="G38" s="1"/>
      <c r="H38" s="1"/>
      <c r="I38" s="1"/>
      <c r="J38" s="19">
        <f>(D38*D$60)+(E38*E$60)+(F38*F$60)+(G38*G$60)+(H38*H$60)+(I38*I$60)</f>
        <v>125</v>
      </c>
      <c r="K38" s="43" t="str">
        <f>IF(D38&gt;=100, 250, IF(D38&gt;=50, 150, IF(D38&gt;=30, 50, "")))</f>
        <v/>
      </c>
      <c r="L38" s="20" t="str">
        <f>IF(E38=5, 200, IF(E38=3, 150, IF(E38=2, 50, "")))</f>
        <v/>
      </c>
      <c r="M38" s="20" t="str">
        <f>IF(H38=3,100,IF(H38=5,200,""))</f>
        <v/>
      </c>
      <c r="N38" s="20"/>
      <c r="O38" s="20"/>
      <c r="P38" s="1"/>
      <c r="Q38" s="1"/>
      <c r="R38" s="17">
        <f>SUM(K38:Q38)</f>
        <v>0</v>
      </c>
      <c r="T38" s="14">
        <f>R38+J38</f>
        <v>125</v>
      </c>
      <c r="V38" s="28"/>
      <c r="W38" s="29"/>
      <c r="X38" s="28"/>
      <c r="Y38" s="28"/>
      <c r="Z38" s="28"/>
      <c r="AA38" s="28"/>
    </row>
    <row r="39" spans="2:27" x14ac:dyDescent="0.3">
      <c r="B39" s="67"/>
      <c r="C39" s="19" t="s">
        <v>24</v>
      </c>
      <c r="D39" s="20">
        <v>27</v>
      </c>
      <c r="E39" s="1"/>
      <c r="F39" s="1"/>
      <c r="G39" s="1"/>
      <c r="H39" s="1"/>
      <c r="I39" s="1"/>
      <c r="J39" s="19">
        <f>(D39*D$60)+(E39*E$60)+(F39*F$60)+(G39*G$60)+(H39*H$60)+(I39*I$60)</f>
        <v>135</v>
      </c>
      <c r="K39" s="43" t="str">
        <f>IF(D39&gt;=100, 250, IF(D39&gt;=50, 150, IF(D39&gt;=30, 50, "")))</f>
        <v/>
      </c>
      <c r="L39" s="20" t="str">
        <f>IF(E39=5, 200, IF(E39=3, 150, IF(E39=2, 50, "")))</f>
        <v/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0</v>
      </c>
      <c r="T39" s="14">
        <f>R39+J39</f>
        <v>135</v>
      </c>
      <c r="V39" s="28"/>
      <c r="W39" s="29"/>
      <c r="X39" s="28"/>
      <c r="Y39" s="28"/>
      <c r="Z39" s="28"/>
      <c r="AA39" s="28"/>
    </row>
    <row r="40" spans="2:27" ht="15" thickBot="1" x14ac:dyDescent="0.35">
      <c r="B40" s="68"/>
      <c r="C40" s="11" t="s">
        <v>148</v>
      </c>
      <c r="D40" s="12">
        <v>2</v>
      </c>
      <c r="E40" s="10">
        <v>1</v>
      </c>
      <c r="F40" s="10"/>
      <c r="G40" s="10"/>
      <c r="H40" s="10"/>
      <c r="I40" s="10"/>
      <c r="J40" s="11">
        <f>(D40*D$60)+(E40*E$60)+(F40*F$60)+(G40*G$60)+(H40*H$60)+(I40*I$60)</f>
        <v>110</v>
      </c>
      <c r="K40" s="9" t="str">
        <f>IF(D40&gt;=100, 250, IF(D40&gt;=50, 150, IF(D40&gt;=30, 50, "")))</f>
        <v/>
      </c>
      <c r="L40" s="12" t="str">
        <f>IF(E40=5, 200, IF(E40=3, 150, IF(E40=2, 50, "")))</f>
        <v/>
      </c>
      <c r="M40" s="12" t="str">
        <f>IF(H40=3,100,IF(H40=5,200,""))</f>
        <v/>
      </c>
      <c r="N40" s="12"/>
      <c r="O40" s="12"/>
      <c r="P40" s="10"/>
      <c r="Q40" s="10"/>
      <c r="R40" s="13">
        <f>SUM(K40:Q40)</f>
        <v>0</v>
      </c>
      <c r="T40" s="34">
        <f>R40+J40</f>
        <v>110</v>
      </c>
      <c r="V40" s="28"/>
      <c r="W40" s="29"/>
      <c r="X40" s="28"/>
      <c r="Y40" s="28"/>
      <c r="Z40" s="28"/>
      <c r="AA40" s="28"/>
    </row>
    <row r="41" spans="2:27" ht="15" thickBot="1" x14ac:dyDescent="0.35">
      <c r="T41" s="37">
        <f>SUM(T36:T40)</f>
        <v>695</v>
      </c>
      <c r="V41" s="28"/>
      <c r="W41" s="29"/>
      <c r="X41" s="28"/>
      <c r="Y41" s="28"/>
      <c r="Z41" s="28"/>
      <c r="AA41" s="28"/>
    </row>
    <row r="42" spans="2:27" x14ac:dyDescent="0.3">
      <c r="B42" s="66" t="s">
        <v>97</v>
      </c>
      <c r="C42" s="39" t="s">
        <v>38</v>
      </c>
      <c r="D42" s="23">
        <v>2</v>
      </c>
      <c r="E42" s="6"/>
      <c r="F42" s="6"/>
      <c r="G42" s="6"/>
      <c r="H42" s="6"/>
      <c r="I42" s="6"/>
      <c r="J42" s="7">
        <f>(D42*D$60)+(E42*E$60)+(F42*F$60)+(G42*G$60)+(H42*H$60)+(I42*I$60)</f>
        <v>10</v>
      </c>
      <c r="K42" s="5" t="str">
        <f>IF(D42&gt;=100, 250, IF(D42&gt;=50, 150, IF(D42&gt;=30, 50, "")))</f>
        <v/>
      </c>
      <c r="L42" s="23" t="str">
        <f>IF(E42=5, 200, IF(E42=3, 150, IF(E42=2, 50, "")))</f>
        <v/>
      </c>
      <c r="M42" s="23" t="str">
        <f>IF(H42=3,100,IF(H42=5,200,""))</f>
        <v/>
      </c>
      <c r="N42" s="23"/>
      <c r="O42" s="23"/>
      <c r="P42" s="6"/>
      <c r="Q42" s="6"/>
      <c r="R42" s="24">
        <f>SUM(K42:Q42)</f>
        <v>0</v>
      </c>
      <c r="T42" s="33">
        <f>(R42+J42)*2</f>
        <v>20</v>
      </c>
      <c r="V42" s="28"/>
      <c r="W42" s="29"/>
      <c r="X42" s="28"/>
      <c r="Y42" s="28"/>
      <c r="Z42" s="28"/>
      <c r="AA42" s="28"/>
    </row>
    <row r="43" spans="2:27" x14ac:dyDescent="0.3">
      <c r="B43" s="67"/>
      <c r="C43" s="19" t="s">
        <v>116</v>
      </c>
      <c r="D43" s="20">
        <v>53</v>
      </c>
      <c r="E43" s="1"/>
      <c r="F43" s="1"/>
      <c r="G43" s="1"/>
      <c r="H43" s="1"/>
      <c r="I43" s="1"/>
      <c r="J43" s="19">
        <f>(D43*D$60)+(E43*E$60)+(F43*F$60)+(G43*G$60)+(H43*H$60)+(I43*I$60)</f>
        <v>265</v>
      </c>
      <c r="K43" s="43">
        <f>IF(D43&gt;=100, 250, IF(D43&gt;=50, 150, IF(D43&gt;=30, 50, "")))</f>
        <v>150</v>
      </c>
      <c r="L43" s="20" t="str">
        <f>IF(E43=5, 200, IF(E43=3, 150, IF(E43=2, 50, "")))</f>
        <v/>
      </c>
      <c r="M43" s="20" t="str">
        <f>IF(H43=3,100,IF(H43=5,200,""))</f>
        <v/>
      </c>
      <c r="N43" s="20"/>
      <c r="O43" s="20"/>
      <c r="P43" s="1"/>
      <c r="Q43" s="1"/>
      <c r="R43" s="17">
        <f>SUM(K43:Q43)</f>
        <v>150</v>
      </c>
      <c r="T43" s="14">
        <f>R43+J43</f>
        <v>415</v>
      </c>
      <c r="V43" s="28"/>
      <c r="W43" s="29"/>
      <c r="X43" s="28"/>
      <c r="Y43" s="28"/>
      <c r="Z43" s="28"/>
      <c r="AA43" s="28"/>
    </row>
    <row r="44" spans="2:27" x14ac:dyDescent="0.3">
      <c r="B44" s="67"/>
      <c r="C44" s="19" t="s">
        <v>166</v>
      </c>
      <c r="D44" s="20">
        <v>28</v>
      </c>
      <c r="E44" s="1">
        <v>5</v>
      </c>
      <c r="F44" s="1"/>
      <c r="G44" s="1"/>
      <c r="H44" s="1"/>
      <c r="I44" s="1"/>
      <c r="J44" s="19">
        <f>(D44*D$60)+(E44*E$60)+(F44*F$60)+(G44*G$60)+(H44*H$60)+(I44*I$60)</f>
        <v>640</v>
      </c>
      <c r="K44" s="43" t="str">
        <f>IF(D44&gt;=100, 250, IF(D44&gt;=50, 150, IF(D44&gt;=30, 50, "")))</f>
        <v/>
      </c>
      <c r="L44" s="20">
        <f>IF(E44=5, 250, IF(E44=3, 150, IF(E44=2, 50, "")))</f>
        <v>250</v>
      </c>
      <c r="M44" s="20" t="str">
        <f>IF(H44=3,100,IF(H44=5,200,""))</f>
        <v/>
      </c>
      <c r="N44" s="20"/>
      <c r="O44" s="20"/>
      <c r="P44" s="1"/>
      <c r="Q44" s="1"/>
      <c r="R44" s="17">
        <f>SUM(K44:Q44)</f>
        <v>250</v>
      </c>
      <c r="T44" s="14">
        <f>R44+J44</f>
        <v>890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23</v>
      </c>
      <c r="D45" s="20"/>
      <c r="E45" s="1"/>
      <c r="F45" s="1"/>
      <c r="G45" s="1"/>
      <c r="H45" s="1">
        <v>1</v>
      </c>
      <c r="I45" s="1"/>
      <c r="J45" s="19">
        <f>(D45*D$60)+(E45*E$60)+(F45*F$60)+(G45*G$60)+(H45*H$60)+(I45*I$60)</f>
        <v>50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50</v>
      </c>
      <c r="V45" s="28"/>
      <c r="W45" s="29"/>
      <c r="X45" s="28"/>
      <c r="Y45" s="28"/>
      <c r="Z45" s="28"/>
      <c r="AA45" s="28"/>
    </row>
    <row r="46" spans="2:27" ht="15" thickBot="1" x14ac:dyDescent="0.35">
      <c r="B46" s="68"/>
      <c r="C46" s="11" t="s">
        <v>188</v>
      </c>
      <c r="D46" s="12"/>
      <c r="E46" s="10">
        <v>1</v>
      </c>
      <c r="F46" s="10"/>
      <c r="G46" s="10"/>
      <c r="H46" s="10">
        <v>1</v>
      </c>
      <c r="I46" s="10"/>
      <c r="J46" s="11">
        <f>(D46*D$60)+(E46*E$60)+(F46*F$60)+(G46*G$60)+(H46*H$60)+(I46*I$60)</f>
        <v>150</v>
      </c>
      <c r="K46" s="9" t="str">
        <f>IF(D46&gt;=100, 250, IF(D46&gt;=50, 150, IF(D46&gt;=30, 50, "")))</f>
        <v/>
      </c>
      <c r="L46" s="12" t="str">
        <f>IF(E46=5, 200, IF(E46=3, 150, IF(E46=2, 50, "")))</f>
        <v/>
      </c>
      <c r="M46" s="12" t="str">
        <f>IF(H46=3,100,IF(H46=5,200,""))</f>
        <v/>
      </c>
      <c r="N46" s="12"/>
      <c r="O46" s="12"/>
      <c r="P46" s="10"/>
      <c r="Q46" s="10"/>
      <c r="R46" s="13">
        <f>SUM(K46:Q46)</f>
        <v>0</v>
      </c>
      <c r="T46" s="34">
        <f>R46+J46</f>
        <v>150</v>
      </c>
      <c r="V46" s="28"/>
      <c r="W46" s="29"/>
      <c r="X46" s="28"/>
      <c r="Y46" s="28"/>
      <c r="Z46" s="28"/>
      <c r="AA46" s="28"/>
    </row>
    <row r="47" spans="2:27" ht="15" thickBot="1" x14ac:dyDescent="0.35">
      <c r="T47" s="37">
        <f>SUM(T42:T46)</f>
        <v>1525</v>
      </c>
      <c r="V47" s="28"/>
      <c r="W47" s="29"/>
      <c r="X47" s="28"/>
      <c r="Y47" s="28"/>
      <c r="Z47" s="28"/>
      <c r="AA47" s="28"/>
    </row>
    <row r="48" spans="2:27" x14ac:dyDescent="0.3">
      <c r="B48" s="66" t="s">
        <v>98</v>
      </c>
      <c r="C48" s="39" t="s">
        <v>37</v>
      </c>
      <c r="D48" s="23">
        <v>60</v>
      </c>
      <c r="E48" s="6"/>
      <c r="F48" s="6"/>
      <c r="G48" s="6"/>
      <c r="H48" s="6"/>
      <c r="I48" s="6"/>
      <c r="J48" s="7">
        <f>(D48*D$60)+(E48*E$60)+(F48*F$60)+(G48*G$60)+(H48*H$60)+(I48*I$60)</f>
        <v>300</v>
      </c>
      <c r="K48" s="5">
        <f>IF(D48&gt;=100, 250, IF(D48&gt;=50, 150, IF(D48&gt;=30, 50, "")))</f>
        <v>150</v>
      </c>
      <c r="L48" s="23" t="str">
        <f>IF(E48=5, 200, IF(E48=3, 150, IF(E48=2, 50, "")))</f>
        <v/>
      </c>
      <c r="M48" s="23" t="str">
        <f>IF(H48=3,100,IF(H48=5,200,""))</f>
        <v/>
      </c>
      <c r="N48" s="23"/>
      <c r="O48" s="23"/>
      <c r="P48" s="6"/>
      <c r="Q48" s="6"/>
      <c r="R48" s="24">
        <f>SUM(K48:Q48)</f>
        <v>150</v>
      </c>
      <c r="T48" s="33">
        <f>(R48+J48)*2</f>
        <v>900</v>
      </c>
      <c r="V48" s="28"/>
      <c r="W48" s="29"/>
      <c r="X48" s="28"/>
      <c r="Y48" s="28"/>
      <c r="Z48" s="28"/>
      <c r="AA48" s="28"/>
    </row>
    <row r="49" spans="2:35" x14ac:dyDescent="0.3">
      <c r="B49" s="67"/>
      <c r="C49" s="19" t="s">
        <v>75</v>
      </c>
      <c r="D49" s="20">
        <v>5</v>
      </c>
      <c r="E49" s="1"/>
      <c r="F49" s="1"/>
      <c r="G49" s="1"/>
      <c r="H49" s="1"/>
      <c r="I49" s="1"/>
      <c r="J49" s="19">
        <f>(D49*D$60)+(E49*E$60)+(F49*F$60)+(G49*G$60)+(H49*H$60)+(I49*I$60)</f>
        <v>25</v>
      </c>
      <c r="K49" s="43" t="str">
        <f>IF(D49&gt;=100, 250, IF(D49&gt;=50, 150, IF(D49&gt;=30, 50, "")))</f>
        <v/>
      </c>
      <c r="L49" s="20" t="str">
        <f t="shared" ref="L49:L51" si="0">IF(E49=5, 200, IF(E49=3, 150, IF(E49=2, 50, "")))</f>
        <v/>
      </c>
      <c r="M49" s="20" t="str">
        <f>IF(H49=3,100,IF(H49=5,200,""))</f>
        <v/>
      </c>
      <c r="N49" s="20"/>
      <c r="O49" s="20"/>
      <c r="P49" s="1"/>
      <c r="Q49" s="1"/>
      <c r="R49" s="17">
        <f>SUM(K49:Q49)</f>
        <v>0</v>
      </c>
      <c r="T49" s="14">
        <f>R49+J49</f>
        <v>25</v>
      </c>
      <c r="V49" s="28"/>
      <c r="W49" s="29"/>
      <c r="X49" s="28"/>
      <c r="Y49" s="28"/>
      <c r="Z49" s="28"/>
      <c r="AA49" s="28"/>
    </row>
    <row r="50" spans="2:35" x14ac:dyDescent="0.3">
      <c r="B50" s="67"/>
      <c r="C50" s="19" t="s">
        <v>213</v>
      </c>
      <c r="D50" s="20">
        <v>30</v>
      </c>
      <c r="E50" s="1"/>
      <c r="F50" s="1"/>
      <c r="G50" s="1"/>
      <c r="H50" s="1"/>
      <c r="I50" s="1"/>
      <c r="J50" s="19">
        <f>(D50*D$60)+(E50*E$60)+(F50*F$60)+(G50*G$60)+(H50*H$60)+(I50*I$60)</f>
        <v>150</v>
      </c>
      <c r="K50" s="43">
        <f>IF(D50&gt;=100, 250, IF(D50&gt;=50, 150, IF(D50&gt;=30, 50, "")))</f>
        <v>50</v>
      </c>
      <c r="L50" s="20" t="str">
        <f t="shared" si="0"/>
        <v/>
      </c>
      <c r="M50" s="20" t="str">
        <f>IF(H50=3,100,IF(H50=5,200,""))</f>
        <v/>
      </c>
      <c r="N50" s="20"/>
      <c r="O50" s="20"/>
      <c r="P50" s="1"/>
      <c r="Q50" s="1"/>
      <c r="R50" s="17">
        <f>SUM(K50:Q50)</f>
        <v>50</v>
      </c>
      <c r="T50" s="14">
        <f>R50+J50</f>
        <v>200</v>
      </c>
      <c r="V50" s="28"/>
      <c r="W50" s="29"/>
      <c r="X50" s="28"/>
      <c r="Y50" s="28"/>
      <c r="Z50" s="28"/>
      <c r="AA50" s="28"/>
    </row>
    <row r="51" spans="2:35" x14ac:dyDescent="0.3">
      <c r="B51" s="67"/>
      <c r="C51" s="19" t="s">
        <v>214</v>
      </c>
      <c r="D51" s="20"/>
      <c r="E51" s="1">
        <v>1</v>
      </c>
      <c r="F51" s="1"/>
      <c r="G51" s="1"/>
      <c r="H51" s="1"/>
      <c r="I51" s="1"/>
      <c r="J51" s="19">
        <f>(D51*D$60)+(E51*E$60)+(F51*F$60)+(G51*G$60)+(H51*H$60)+(I51*I$60)</f>
        <v>100</v>
      </c>
      <c r="K51" s="43" t="str">
        <f>IF(D51&gt;=100, 250, IF(D51&gt;=50, 150, IF(D51&gt;=30, 50, "")))</f>
        <v/>
      </c>
      <c r="L51" s="20" t="str">
        <f t="shared" si="0"/>
        <v/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0</v>
      </c>
      <c r="T51" s="14">
        <f>R51+J51</f>
        <v>100</v>
      </c>
      <c r="V51" s="28"/>
      <c r="W51" s="29"/>
      <c r="X51" s="28"/>
      <c r="Y51" s="28"/>
      <c r="Z51" s="28"/>
      <c r="AA51" s="28"/>
    </row>
    <row r="52" spans="2:35" ht="15" thickBot="1" x14ac:dyDescent="0.35">
      <c r="B52" s="68"/>
      <c r="C52" s="11" t="s">
        <v>215</v>
      </c>
      <c r="D52" s="12">
        <v>0</v>
      </c>
      <c r="E52" s="10">
        <v>1</v>
      </c>
      <c r="F52" s="10"/>
      <c r="G52" s="10"/>
      <c r="H52" s="10"/>
      <c r="I52" s="10">
        <v>1</v>
      </c>
      <c r="J52" s="11">
        <f>(D52*D$60)+(E52*E$60)+(F52*F$60)+(G52*G$60)+(H52*H$60)+(I52*I$60)</f>
        <v>50</v>
      </c>
      <c r="K52" s="9" t="str">
        <f>IF(D52&gt;=100, 250, IF(D52&gt;=50, 150, IF(D52&gt;=30, 50, "")))</f>
        <v/>
      </c>
      <c r="L52" s="12" t="str">
        <f>IF(E52=5, 200, IF(E52=3, 150, IF(E52=2, 50, "")))</f>
        <v/>
      </c>
      <c r="M52" s="12" t="str">
        <f>IF(H52=3,100,IF(H52=5,200,""))</f>
        <v/>
      </c>
      <c r="N52" s="12"/>
      <c r="O52" s="12"/>
      <c r="P52" s="10"/>
      <c r="Q52" s="10"/>
      <c r="R52" s="13">
        <f>SUM(K52:Q52)</f>
        <v>0</v>
      </c>
      <c r="T52" s="34">
        <f>R52+J52</f>
        <v>50</v>
      </c>
      <c r="V52" s="28"/>
      <c r="W52" s="29"/>
      <c r="X52" s="28"/>
      <c r="Y52" s="28"/>
      <c r="Z52" s="28"/>
      <c r="AA52" s="28"/>
    </row>
    <row r="53" spans="2:35" ht="15" thickBot="1" x14ac:dyDescent="0.35">
      <c r="T53" s="37">
        <f>SUM(T48:T52)</f>
        <v>1275</v>
      </c>
      <c r="V53" s="28"/>
      <c r="W53" s="29"/>
      <c r="X53" s="28"/>
      <c r="Y53" s="28"/>
      <c r="Z53" s="28"/>
      <c r="AA53" s="28"/>
    </row>
    <row r="55" spans="2:35" x14ac:dyDescent="0.3">
      <c r="W55" s="40"/>
    </row>
    <row r="56" spans="2:35" x14ac:dyDescent="0.3">
      <c r="W56" s="40"/>
    </row>
    <row r="57" spans="2:35" x14ac:dyDescent="0.3">
      <c r="W57" s="40"/>
    </row>
    <row r="58" spans="2:35" x14ac:dyDescent="0.3">
      <c r="W58" s="40"/>
    </row>
    <row r="59" spans="2:35" ht="15" thickBot="1" x14ac:dyDescent="0.35">
      <c r="W59" s="40"/>
    </row>
    <row r="60" spans="2:35" ht="27.6" x14ac:dyDescent="0.3">
      <c r="B60" s="5"/>
      <c r="C60" s="7"/>
      <c r="D60" s="5">
        <v>5</v>
      </c>
      <c r="E60" s="6">
        <v>100</v>
      </c>
      <c r="F60" s="6">
        <v>50</v>
      </c>
      <c r="G60" s="6">
        <v>50</v>
      </c>
      <c r="H60" s="6">
        <v>50</v>
      </c>
      <c r="I60" s="6">
        <v>-50</v>
      </c>
      <c r="J60" s="30"/>
      <c r="K60" s="5" t="s">
        <v>1</v>
      </c>
      <c r="L60" s="6" t="s">
        <v>10</v>
      </c>
      <c r="M60" s="31" t="s">
        <v>14</v>
      </c>
      <c r="N60" s="31" t="s">
        <v>15</v>
      </c>
      <c r="O60" s="6" t="s">
        <v>8</v>
      </c>
      <c r="P60" s="32" t="s">
        <v>9</v>
      </c>
      <c r="Q60" s="6" t="s">
        <v>13</v>
      </c>
      <c r="R60" s="7"/>
      <c r="S60" s="2"/>
      <c r="T60" s="8" t="s">
        <v>0</v>
      </c>
      <c r="V60" s="35" t="s">
        <v>12</v>
      </c>
      <c r="W60" s="35" t="s">
        <v>4</v>
      </c>
      <c r="X60" s="36" t="s">
        <v>95</v>
      </c>
      <c r="Y60" s="35" t="s">
        <v>96</v>
      </c>
      <c r="Z60" s="35" t="s">
        <v>97</v>
      </c>
      <c r="AA60" s="35" t="s">
        <v>98</v>
      </c>
      <c r="AE60" s="36"/>
      <c r="AF60" s="36" t="s">
        <v>211</v>
      </c>
      <c r="AG60" s="35" t="s">
        <v>96</v>
      </c>
      <c r="AH60" s="35" t="s">
        <v>97</v>
      </c>
      <c r="AI60" s="35" t="s">
        <v>98</v>
      </c>
    </row>
    <row r="61" spans="2:35" ht="36.6" thickBot="1" x14ac:dyDescent="0.35">
      <c r="B61" s="9" t="s">
        <v>5</v>
      </c>
      <c r="C61" s="11" t="s">
        <v>6</v>
      </c>
      <c r="D61" s="9" t="s">
        <v>1</v>
      </c>
      <c r="E61" s="10" t="s">
        <v>10</v>
      </c>
      <c r="F61" s="10" t="s">
        <v>11</v>
      </c>
      <c r="G61" s="10" t="s">
        <v>17</v>
      </c>
      <c r="H61" s="10" t="s">
        <v>2</v>
      </c>
      <c r="I61" s="10" t="s">
        <v>7</v>
      </c>
      <c r="J61" s="21" t="s">
        <v>0</v>
      </c>
      <c r="K61" s="25" t="s">
        <v>90</v>
      </c>
      <c r="L61" s="27" t="s">
        <v>91</v>
      </c>
      <c r="M61" s="26" t="s">
        <v>92</v>
      </c>
      <c r="N61" s="26" t="s">
        <v>33</v>
      </c>
      <c r="O61" s="27" t="s">
        <v>93</v>
      </c>
      <c r="P61" s="26" t="s">
        <v>94</v>
      </c>
      <c r="Q61" s="27">
        <v>200</v>
      </c>
      <c r="R61" s="13" t="s">
        <v>0</v>
      </c>
      <c r="T61" s="14"/>
      <c r="V61" s="41"/>
      <c r="W61" s="42" t="s">
        <v>0</v>
      </c>
      <c r="X61" s="42">
        <f>SUM(X62:X69)</f>
        <v>-210</v>
      </c>
      <c r="Y61" s="42">
        <f>SUM(Y62:Y69)</f>
        <v>-3015</v>
      </c>
      <c r="Z61" s="42">
        <f>SUM(Z62:Z69)</f>
        <v>-3485</v>
      </c>
      <c r="AA61" s="42">
        <f>SUM(AA62:AA69)</f>
        <v>6710</v>
      </c>
      <c r="AE61" s="42" t="s">
        <v>165</v>
      </c>
      <c r="AF61" s="42">
        <v>-4745</v>
      </c>
      <c r="AG61" s="42">
        <v>2405</v>
      </c>
      <c r="AH61" s="42">
        <v>10275</v>
      </c>
      <c r="AI61" s="42">
        <v>-7935</v>
      </c>
    </row>
    <row r="62" spans="2:35" ht="21" x14ac:dyDescent="0.3">
      <c r="B62" s="66" t="s">
        <v>95</v>
      </c>
      <c r="C62" s="38" t="s">
        <v>52</v>
      </c>
      <c r="D62" s="5">
        <v>20</v>
      </c>
      <c r="E62" s="6"/>
      <c r="F62" s="6"/>
      <c r="G62" s="6"/>
      <c r="H62" s="6"/>
      <c r="I62" s="6"/>
      <c r="J62" s="7">
        <f>(D62*D$60)+(E62*E$60)+(F62*F$60)+(G62*G$60)+(H62*H$60)+(I62*I$60)</f>
        <v>100</v>
      </c>
      <c r="K62" s="15" t="str">
        <f>IF(D62&gt;=100, 250, IF(D62&gt;=50, 150, IF(D62&gt;=30, 50, "")))</f>
        <v/>
      </c>
      <c r="L62" s="15" t="str">
        <f>IF(E62=5, 200, IF(E62=3, 150, IF(E62=2, 50, "")))</f>
        <v/>
      </c>
      <c r="M62" s="15" t="str">
        <f>IF(H62=3,100,IF(H62=5,200,""))</f>
        <v/>
      </c>
      <c r="N62" s="15"/>
      <c r="O62" s="15"/>
      <c r="P62" s="16"/>
      <c r="Q62" s="16"/>
      <c r="R62" s="17">
        <f>SUM(K62:Q62)</f>
        <v>0</v>
      </c>
      <c r="T62" s="14">
        <f>(R62+J62)*2</f>
        <v>200</v>
      </c>
      <c r="V62" s="28">
        <v>1</v>
      </c>
      <c r="W62" s="29">
        <v>45745</v>
      </c>
      <c r="X62" s="28">
        <v>1625</v>
      </c>
      <c r="Y62" s="28">
        <v>-605</v>
      </c>
      <c r="Z62" s="28">
        <v>-855</v>
      </c>
      <c r="AA62" s="28">
        <v>-165</v>
      </c>
      <c r="AE62" s="42" t="s">
        <v>210</v>
      </c>
      <c r="AF62" s="42">
        <f>X29</f>
        <v>-5315</v>
      </c>
      <c r="AG62" s="42">
        <f>Y29</f>
        <v>-3535</v>
      </c>
      <c r="AH62" s="42">
        <f>Z29</f>
        <v>5950</v>
      </c>
      <c r="AI62" s="42">
        <f>AA29</f>
        <v>2900</v>
      </c>
    </row>
    <row r="63" spans="2:35" ht="21" x14ac:dyDescent="0.3">
      <c r="B63" s="67"/>
      <c r="C63" s="4" t="s">
        <v>66</v>
      </c>
      <c r="D63" s="18">
        <v>18</v>
      </c>
      <c r="E63" s="1"/>
      <c r="F63" s="1"/>
      <c r="G63" s="1"/>
      <c r="H63" s="1"/>
      <c r="I63" s="1"/>
      <c r="J63" s="19">
        <f>(D63*D$60)+(E63*E$60)+(F63*F$60)+(G63*G$60)+(H63*H$60)+(I63*I$60)</f>
        <v>90</v>
      </c>
      <c r="K63" s="15" t="str">
        <f>IF(D63&gt;=100, 250, IF(D63&gt;=50, 150, IF(D63&gt;=30, 50, "")))</f>
        <v/>
      </c>
      <c r="L63" s="20" t="str">
        <f>IF(E63=5, 200, IF(E63=3, 150, IF(E63=2, 50, "")))</f>
        <v/>
      </c>
      <c r="M63" s="20" t="str">
        <f>IF(H63=3,100,IF(H63=5,200,""))</f>
        <v/>
      </c>
      <c r="N63" s="20"/>
      <c r="O63" s="20"/>
      <c r="P63" s="1"/>
      <c r="Q63" s="1"/>
      <c r="R63" s="17">
        <f>SUM(K63:Q63)</f>
        <v>0</v>
      </c>
      <c r="T63" s="14">
        <f>R63+J63</f>
        <v>90</v>
      </c>
      <c r="V63" s="28">
        <v>2</v>
      </c>
      <c r="W63" s="44">
        <v>45746</v>
      </c>
      <c r="X63" s="45">
        <v>-770</v>
      </c>
      <c r="Y63" s="45">
        <v>-905</v>
      </c>
      <c r="Z63" s="45">
        <v>-1265</v>
      </c>
      <c r="AA63" s="45">
        <v>2940</v>
      </c>
      <c r="AE63" s="42" t="s">
        <v>0</v>
      </c>
      <c r="AF63" s="42">
        <f>AF62+AF61</f>
        <v>-10060</v>
      </c>
      <c r="AG63" s="42">
        <f>AG62+AG61</f>
        <v>-1130</v>
      </c>
      <c r="AH63" s="42">
        <f>AH62+AH61</f>
        <v>16225</v>
      </c>
      <c r="AI63" s="42">
        <f>AI62+AI61</f>
        <v>-5035</v>
      </c>
    </row>
    <row r="64" spans="2:35" x14ac:dyDescent="0.3">
      <c r="B64" s="67"/>
      <c r="C64" s="4" t="s">
        <v>78</v>
      </c>
      <c r="D64" s="18">
        <v>81</v>
      </c>
      <c r="E64" s="1"/>
      <c r="F64" s="1"/>
      <c r="G64" s="1"/>
      <c r="H64" s="1"/>
      <c r="I64" s="1"/>
      <c r="J64" s="19">
        <f>(D64*D$60)+(E64*E$60)+(F64*F$60)+(G64*G$60)+(H64*H$60)+(I64*I$60)</f>
        <v>405</v>
      </c>
      <c r="K64" s="15">
        <f>IF(D64&gt;=100, 250, IF(D64&gt;=50, 150, IF(D64&gt;=30, 50, "")))</f>
        <v>150</v>
      </c>
      <c r="L64" s="20" t="str">
        <f>IF(E64=5, 200, IF(E64=3, 150, IF(E64=2, 50, "")))</f>
        <v/>
      </c>
      <c r="M64" s="20" t="str">
        <f>IF(H64=3,100,IF(H64=5,200,""))</f>
        <v/>
      </c>
      <c r="N64" s="20"/>
      <c r="O64" s="20">
        <v>150</v>
      </c>
      <c r="P64" s="1"/>
      <c r="Q64" s="1"/>
      <c r="R64" s="17">
        <f>SUM(K64:Q64)</f>
        <v>300</v>
      </c>
      <c r="T64" s="14">
        <f>R64+J64</f>
        <v>705</v>
      </c>
      <c r="V64" s="28">
        <v>3</v>
      </c>
      <c r="W64" s="44">
        <v>45746</v>
      </c>
      <c r="X64" s="45">
        <v>-1065</v>
      </c>
      <c r="Y64" s="45">
        <v>-1505</v>
      </c>
      <c r="Z64" s="45">
        <v>-1365</v>
      </c>
      <c r="AA64" s="45">
        <v>3935</v>
      </c>
    </row>
    <row r="65" spans="2:27" x14ac:dyDescent="0.3">
      <c r="B65" s="67"/>
      <c r="C65" s="4" t="s">
        <v>178</v>
      </c>
      <c r="D65" s="18">
        <v>2</v>
      </c>
      <c r="E65" s="1"/>
      <c r="F65" s="1"/>
      <c r="G65" s="1"/>
      <c r="H65" s="1"/>
      <c r="I65" s="1"/>
      <c r="J65" s="19">
        <f>(D65*D$60)+(E65*E$60)+(F65*F$60)+(G65*G$60)+(H65*H$60)+(I65*I$60)</f>
        <v>10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</v>
      </c>
      <c r="V65" s="28">
        <v>4</v>
      </c>
      <c r="W65" s="29"/>
      <c r="X65" s="28"/>
      <c r="Y65" s="28"/>
      <c r="Z65" s="28"/>
      <c r="AA65" s="28"/>
    </row>
    <row r="66" spans="2:27" ht="15" thickBot="1" x14ac:dyDescent="0.35">
      <c r="B66" s="68"/>
      <c r="C66" s="21" t="s">
        <v>179</v>
      </c>
      <c r="D66" s="9">
        <v>19</v>
      </c>
      <c r="E66" s="10"/>
      <c r="F66" s="10"/>
      <c r="G66" s="10"/>
      <c r="H66" s="10">
        <v>2</v>
      </c>
      <c r="I66" s="10"/>
      <c r="J66" s="11">
        <f>(D66*D$60)+(E66*E$60)+(F66*F$60)+(G66*G$60)+(H66*H$60)+(I66*I$60)</f>
        <v>195</v>
      </c>
      <c r="K66" s="12" t="str">
        <f>IF(D66&gt;=100, 250, IF(D66&gt;=50, 150, IF(D66&gt;=30, 50, "")))</f>
        <v/>
      </c>
      <c r="L66" s="12" t="str">
        <f>IF(E66=5, 200, IF(E66=3, 150, IF(E66=2, 50, "")))</f>
        <v/>
      </c>
      <c r="M66" s="12" t="str">
        <f>IF(H66=3,100,IF(H66=5,200,""))</f>
        <v/>
      </c>
      <c r="N66" s="12"/>
      <c r="O66" s="12"/>
      <c r="P66" s="10"/>
      <c r="Q66" s="10"/>
      <c r="R66" s="13">
        <f>SUM(K66:Q66)</f>
        <v>0</v>
      </c>
      <c r="T66" s="22">
        <f>(R66+J66)</f>
        <v>195</v>
      </c>
      <c r="V66" s="28">
        <v>5</v>
      </c>
      <c r="W66" s="29"/>
      <c r="X66" s="28"/>
      <c r="Y66" s="28"/>
      <c r="Z66" s="28"/>
      <c r="AA66" s="28"/>
    </row>
    <row r="67" spans="2:27" ht="15" thickBot="1" x14ac:dyDescent="0.35">
      <c r="T67" s="37">
        <f>SUM(T62:T66)</f>
        <v>1200</v>
      </c>
      <c r="V67" s="28">
        <v>6</v>
      </c>
      <c r="W67" s="29"/>
      <c r="X67" s="28"/>
      <c r="Y67" s="28"/>
      <c r="Z67" s="28"/>
      <c r="AA67" s="28"/>
    </row>
    <row r="68" spans="2:27" x14ac:dyDescent="0.3">
      <c r="B68" s="66" t="s">
        <v>96</v>
      </c>
      <c r="C68" s="39" t="s">
        <v>180</v>
      </c>
      <c r="D68" s="23">
        <v>4</v>
      </c>
      <c r="E68" s="6"/>
      <c r="F68" s="6"/>
      <c r="G68" s="6"/>
      <c r="H68" s="6">
        <v>1</v>
      </c>
      <c r="I68" s="6"/>
      <c r="J68" s="7">
        <f>(D68*D$60)+(E68*E$60)+(F68*F$60)+(G68*G$60)+(H68*H$60)+(I68*I$60)</f>
        <v>70</v>
      </c>
      <c r="K68" s="5" t="str">
        <f>IF(D68&gt;=100, 250, IF(D68&gt;=50, 150, IF(D68&gt;=30, 50, "")))</f>
        <v/>
      </c>
      <c r="L68" s="23" t="str">
        <f>IF(E68=5, 200, IF(E68=3, 150, IF(E68=2, 50, "")))</f>
        <v/>
      </c>
      <c r="M68" s="23" t="str">
        <f>IF(H68=3,100,IF(H68=5,200,""))</f>
        <v/>
      </c>
      <c r="N68" s="23"/>
      <c r="O68" s="23"/>
      <c r="P68" s="6"/>
      <c r="Q68" s="6"/>
      <c r="R68" s="24">
        <f>SUM(K68:Q68)</f>
        <v>0</v>
      </c>
      <c r="T68" s="33">
        <f>(R68+J68)*2</f>
        <v>140</v>
      </c>
      <c r="V68" s="28">
        <v>7</v>
      </c>
      <c r="W68" s="29"/>
      <c r="X68" s="28"/>
      <c r="Y68" s="28"/>
      <c r="Z68" s="28"/>
      <c r="AA68" s="28"/>
    </row>
    <row r="69" spans="2:27" x14ac:dyDescent="0.3">
      <c r="B69" s="67"/>
      <c r="C69" s="19" t="s">
        <v>181</v>
      </c>
      <c r="D69" s="20"/>
      <c r="E69" s="1">
        <v>2</v>
      </c>
      <c r="F69" s="1"/>
      <c r="G69" s="1"/>
      <c r="H69" s="1">
        <v>1</v>
      </c>
      <c r="I69" s="1"/>
      <c r="J69" s="19">
        <f>(D69*D$60)+(E69*E$60)+(F69*F$60)+(G69*G$60)+(H69*H$60)+(I69*I$60)</f>
        <v>250</v>
      </c>
      <c r="K69" s="43" t="str">
        <f>IF(D69&gt;=100, 250, IF(D69&gt;=50, 150, IF(D69&gt;=30, 50, "")))</f>
        <v/>
      </c>
      <c r="L69" s="20">
        <f>IF(E69=5, 200, IF(E69=3, 150, IF(E69=2, 50, "")))</f>
        <v>50</v>
      </c>
      <c r="M69" s="20" t="str">
        <f>IF(H69=3,100,IF(H69=5,200,""))</f>
        <v/>
      </c>
      <c r="N69" s="20"/>
      <c r="O69" s="20"/>
      <c r="P69" s="1"/>
      <c r="Q69" s="1"/>
      <c r="R69" s="17">
        <f>SUM(K69:Q69)</f>
        <v>50</v>
      </c>
      <c r="T69" s="14">
        <f>R69+J69</f>
        <v>300</v>
      </c>
      <c r="V69" s="28">
        <v>8</v>
      </c>
      <c r="W69" s="29"/>
      <c r="X69" s="28"/>
      <c r="Y69" s="28"/>
      <c r="Z69" s="28"/>
      <c r="AA69" s="28"/>
    </row>
    <row r="70" spans="2:27" x14ac:dyDescent="0.3">
      <c r="B70" s="67"/>
      <c r="C70" s="19" t="s">
        <v>182</v>
      </c>
      <c r="D70" s="20">
        <v>23</v>
      </c>
      <c r="E70" s="1"/>
      <c r="F70" s="1"/>
      <c r="G70" s="1"/>
      <c r="H70" s="1"/>
      <c r="I70" s="1"/>
      <c r="J70" s="19">
        <f>(D70*D$60)+(E70*E$60)+(F70*F$60)+(G70*G$60)+(H70*H$60)+(I70*I$60)</f>
        <v>115</v>
      </c>
      <c r="K70" s="43" t="str">
        <f>IF(D70&gt;=100, 250, IF(D70&gt;=50, 150, IF(D70&gt;=30, 50, "")))</f>
        <v/>
      </c>
      <c r="L70" s="20" t="str">
        <f>IF(E70=5, 200, IF(E70=3, 150, IF(E70=2, 50, "")))</f>
        <v/>
      </c>
      <c r="M70" s="20" t="str">
        <f>IF(H70=3,100,IF(H70=5,200,""))</f>
        <v/>
      </c>
      <c r="N70" s="20"/>
      <c r="O70" s="20"/>
      <c r="P70" s="1"/>
      <c r="Q70" s="1"/>
      <c r="R70" s="17">
        <f>SUM(K70:Q70)</f>
        <v>0</v>
      </c>
      <c r="T70" s="14">
        <f>R70+J70</f>
        <v>115</v>
      </c>
      <c r="V70" s="28"/>
      <c r="W70" s="29"/>
      <c r="X70" s="28"/>
      <c r="Y70" s="28"/>
      <c r="Z70" s="28"/>
      <c r="AA70" s="28"/>
    </row>
    <row r="71" spans="2:27" x14ac:dyDescent="0.3">
      <c r="B71" s="67"/>
      <c r="C71" s="19" t="s">
        <v>68</v>
      </c>
      <c r="D71" s="20"/>
      <c r="E71" s="1">
        <v>1</v>
      </c>
      <c r="F71" s="1"/>
      <c r="G71" s="1"/>
      <c r="H71" s="1">
        <v>2</v>
      </c>
      <c r="I71" s="1"/>
      <c r="J71" s="19">
        <f>(D71*D$60)+(E71*E$60)+(F71*F$60)+(G71*G$60)+(H71*H$60)+(I71*I$60)</f>
        <v>200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200</v>
      </c>
      <c r="V71" s="28"/>
      <c r="W71" s="29"/>
      <c r="X71" s="28"/>
      <c r="Y71" s="28"/>
      <c r="Z71" s="28"/>
      <c r="AA71" s="28"/>
    </row>
    <row r="72" spans="2:27" ht="15" thickBot="1" x14ac:dyDescent="0.35">
      <c r="B72" s="68"/>
      <c r="C72" s="11" t="s">
        <v>80</v>
      </c>
      <c r="D72" s="12">
        <v>1</v>
      </c>
      <c r="E72" s="10"/>
      <c r="F72" s="10"/>
      <c r="G72" s="10"/>
      <c r="H72" s="10"/>
      <c r="I72" s="10"/>
      <c r="J72" s="11">
        <f>(D72*D$60)+(E72*E$60)+(F72*F$60)+(G72*G$60)+(H72*H$60)+(I72*I$60)</f>
        <v>5</v>
      </c>
      <c r="K72" s="9" t="str">
        <f>IF(D72&gt;=100, 250, IF(D72&gt;=50, 150, IF(D72&gt;=30, 50, "")))</f>
        <v/>
      </c>
      <c r="L72" s="12" t="str">
        <f>IF(E72=5, 200, IF(E72=3, 150, IF(E72=2, 50, "")))</f>
        <v/>
      </c>
      <c r="M72" s="12" t="str">
        <f>IF(H72=3,100,IF(H72=5,200,""))</f>
        <v/>
      </c>
      <c r="N72" s="12"/>
      <c r="O72" s="12"/>
      <c r="P72" s="10"/>
      <c r="Q72" s="10"/>
      <c r="R72" s="13">
        <f>SUM(K72:Q72)</f>
        <v>0</v>
      </c>
      <c r="T72" s="34">
        <f>R72+J72</f>
        <v>5</v>
      </c>
      <c r="V72" s="28"/>
      <c r="W72" s="29"/>
      <c r="X72" s="28"/>
      <c r="Y72" s="28"/>
      <c r="Z72" s="28"/>
      <c r="AA72" s="28"/>
    </row>
    <row r="73" spans="2:27" ht="15" thickBot="1" x14ac:dyDescent="0.35">
      <c r="T73" s="37">
        <f>SUM(T68:T72)</f>
        <v>760</v>
      </c>
      <c r="V73" s="28"/>
      <c r="W73" s="29"/>
      <c r="X73" s="28"/>
      <c r="Y73" s="28"/>
      <c r="Z73" s="28"/>
      <c r="AA73" s="28"/>
    </row>
    <row r="74" spans="2:27" x14ac:dyDescent="0.3">
      <c r="B74" s="66" t="s">
        <v>97</v>
      </c>
      <c r="C74" s="39" t="s">
        <v>183</v>
      </c>
      <c r="D74" s="23">
        <v>0</v>
      </c>
      <c r="E74" s="6"/>
      <c r="F74" s="6"/>
      <c r="G74" s="6"/>
      <c r="H74" s="6">
        <v>1</v>
      </c>
      <c r="I74" s="6">
        <v>1</v>
      </c>
      <c r="J74" s="7">
        <f>(D74*D$60)+(E74*E$60)+(F74*F$60)+(G74*G$60)+(H74*H$60)+(I74*I$60)</f>
        <v>0</v>
      </c>
      <c r="K74" s="5" t="str">
        <f>IF(D74&gt;=100, 250, IF(D74&gt;=50, 150, IF(D74&gt;=30, 50, "")))</f>
        <v/>
      </c>
      <c r="L74" s="23" t="str">
        <f>IF(E74=5, 200, IF(E74=3, 150, IF(E74=2, 50, "")))</f>
        <v/>
      </c>
      <c r="M74" s="23" t="str">
        <f>IF(H74=3,100,IF(H74=5,200,""))</f>
        <v/>
      </c>
      <c r="N74" s="23"/>
      <c r="O74" s="23"/>
      <c r="P74" s="6"/>
      <c r="Q74" s="6"/>
      <c r="R74" s="24">
        <f>SUM(K74:Q74)</f>
        <v>0</v>
      </c>
      <c r="T74" s="33">
        <f>(R74+J74)*2</f>
        <v>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61</v>
      </c>
      <c r="D75" s="20">
        <v>37</v>
      </c>
      <c r="E75" s="1"/>
      <c r="F75" s="1"/>
      <c r="G75" s="1"/>
      <c r="H75" s="1">
        <v>1</v>
      </c>
      <c r="I75" s="1"/>
      <c r="J75" s="19">
        <f>(D75*D$60)+(E75*E$60)+(F75*F$60)+(G75*G$60)+(H75*H$60)+(I75*I$60)</f>
        <v>235</v>
      </c>
      <c r="K75" s="43">
        <f>IF(D75&gt;=100, 250, IF(D75&gt;=50, 150, IF(D75&gt;=30, 50, "")))</f>
        <v>50</v>
      </c>
      <c r="L75" s="20" t="str">
        <f>IF(E75=5, 200, IF(E75=3, 150, IF(E75=2, 50, "")))</f>
        <v/>
      </c>
      <c r="M75" s="20" t="str">
        <f>IF(H75=3,100,IF(H75=5,200,""))</f>
        <v/>
      </c>
      <c r="N75" s="20"/>
      <c r="O75" s="20"/>
      <c r="P75" s="1"/>
      <c r="Q75" s="1"/>
      <c r="R75" s="17">
        <f>SUM(K75:Q75)</f>
        <v>50</v>
      </c>
      <c r="T75" s="14">
        <f>R75+J75</f>
        <v>285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59</v>
      </c>
      <c r="D76" s="20">
        <v>32</v>
      </c>
      <c r="E76" s="1">
        <v>1</v>
      </c>
      <c r="F76" s="1"/>
      <c r="G76" s="1"/>
      <c r="H76" s="1"/>
      <c r="I76" s="1"/>
      <c r="J76" s="19">
        <f>(D76*D$60)+(E76*E$60)+(F76*F$60)+(G76*G$60)+(H76*H$60)+(I76*I$60)</f>
        <v>260</v>
      </c>
      <c r="K76" s="43">
        <f>IF(D76&gt;=100, 250, IF(D76&gt;=50, 150, IF(D76&gt;=30, 50, "")))</f>
        <v>50</v>
      </c>
      <c r="L76" s="20" t="str">
        <f>IF(E76=5, 200, IF(E76=3, 150, IF(E76=2, 50, "")))</f>
        <v/>
      </c>
      <c r="M76" s="20" t="str">
        <f>IF(H76=3,100,IF(H76=5,200,""))</f>
        <v/>
      </c>
      <c r="N76" s="20"/>
      <c r="O76" s="20"/>
      <c r="P76" s="1"/>
      <c r="Q76" s="1"/>
      <c r="R76" s="17">
        <f>SUM(K76:Q76)</f>
        <v>50</v>
      </c>
      <c r="T76" s="14">
        <f>R76+J76</f>
        <v>310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184</v>
      </c>
      <c r="D77" s="20">
        <v>11</v>
      </c>
      <c r="E77" s="1"/>
      <c r="F77" s="1"/>
      <c r="G77" s="1"/>
      <c r="H77" s="1"/>
      <c r="I77" s="1"/>
      <c r="J77" s="19">
        <f>(D77*D$60)+(E77*E$60)+(F77*F$60)+(G77*G$60)+(H77*H$60)+(I77*I$60)</f>
        <v>55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55</v>
      </c>
      <c r="V77" s="28"/>
      <c r="W77" s="29"/>
      <c r="X77" s="28"/>
      <c r="Y77" s="28"/>
      <c r="Z77" s="28"/>
      <c r="AA77" s="28"/>
    </row>
    <row r="78" spans="2:27" ht="15" thickBot="1" x14ac:dyDescent="0.35">
      <c r="B78" s="68"/>
      <c r="C78" s="11" t="s">
        <v>141</v>
      </c>
      <c r="D78" s="12">
        <v>0</v>
      </c>
      <c r="E78" s="10">
        <v>1</v>
      </c>
      <c r="F78" s="10"/>
      <c r="G78" s="10"/>
      <c r="H78" s="10"/>
      <c r="I78" s="10">
        <v>1</v>
      </c>
      <c r="J78" s="11">
        <f>(D78*D$60)+(E78*E$60)+(F78*F$60)+(G78*G$60)+(H78*H$60)+(I78*I$60)</f>
        <v>50</v>
      </c>
      <c r="K78" s="9" t="str">
        <f>IF(D78&gt;=100, 250, IF(D78&gt;=50, 150, IF(D78&gt;=30, 50, "")))</f>
        <v/>
      </c>
      <c r="L78" s="12" t="str">
        <f>IF(E78=5, 200, IF(E78=3, 150, IF(E78=2, 50, "")))</f>
        <v/>
      </c>
      <c r="M78" s="12" t="str">
        <f>IF(H78=3,100,IF(H78=5,200,""))</f>
        <v/>
      </c>
      <c r="N78" s="12"/>
      <c r="O78" s="12"/>
      <c r="P78" s="10"/>
      <c r="Q78" s="10">
        <v>200</v>
      </c>
      <c r="R78" s="13">
        <f>SUM(K78:Q78)</f>
        <v>200</v>
      </c>
      <c r="T78" s="34">
        <f>R78+J78</f>
        <v>250</v>
      </c>
      <c r="V78" s="28"/>
      <c r="W78" s="29"/>
      <c r="X78" s="28"/>
      <c r="Y78" s="28"/>
      <c r="Z78" s="28"/>
      <c r="AA78" s="28"/>
    </row>
    <row r="79" spans="2:27" ht="15" thickBot="1" x14ac:dyDescent="0.35">
      <c r="T79" s="37">
        <f>SUM(T74:T78)</f>
        <v>900</v>
      </c>
      <c r="V79" s="28"/>
      <c r="W79" s="29"/>
      <c r="X79" s="28"/>
      <c r="Y79" s="28"/>
      <c r="Z79" s="28"/>
      <c r="AA79" s="28"/>
    </row>
    <row r="80" spans="2:27" x14ac:dyDescent="0.3">
      <c r="B80" s="66" t="s">
        <v>98</v>
      </c>
      <c r="C80" s="39" t="s">
        <v>72</v>
      </c>
      <c r="D80" s="23">
        <v>63</v>
      </c>
      <c r="E80" s="6"/>
      <c r="F80" s="6"/>
      <c r="G80" s="6"/>
      <c r="H80" s="6">
        <v>1</v>
      </c>
      <c r="I80" s="6"/>
      <c r="J80" s="7">
        <f>(D80*D$60)+(E80*E$60)+(F80*F$60)+(G80*G$60)+(H80*H$60)+(I80*I$60)</f>
        <v>365</v>
      </c>
      <c r="K80" s="5">
        <f>IF(D80&gt;=100, 250, IF(D80&gt;=50, 150, IF(D80&gt;=30, 50, "")))</f>
        <v>150</v>
      </c>
      <c r="L80" s="23" t="str">
        <f>IF(E80=5, 200, IF(E80=3, 150, IF(E80=2, 50, "")))</f>
        <v/>
      </c>
      <c r="M80" s="23" t="str">
        <f>IF(H80=3,100,IF(H80=5,200,""))</f>
        <v/>
      </c>
      <c r="N80" s="23"/>
      <c r="O80" s="23"/>
      <c r="P80" s="6"/>
      <c r="Q80" s="6"/>
      <c r="R80" s="24">
        <f>SUM(K80:Q80)</f>
        <v>150</v>
      </c>
      <c r="T80" s="33">
        <f>(R80+J80)*2</f>
        <v>1030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26</v>
      </c>
      <c r="D81" s="20"/>
      <c r="E81" s="1">
        <v>2</v>
      </c>
      <c r="F81" s="1"/>
      <c r="G81" s="1"/>
      <c r="H81" s="1"/>
      <c r="I81" s="1"/>
      <c r="J81" s="19">
        <f>(D81*D$60)+(E81*E$60)+(F81*F$60)+(G81*G$60)+(H81*H$60)+(I81*I$60)</f>
        <v>200</v>
      </c>
      <c r="K81" s="43" t="str">
        <f>IF(D81&gt;=100, 250, IF(D81&gt;=50, 150, IF(D81&gt;=30, 50, "")))</f>
        <v/>
      </c>
      <c r="L81" s="20">
        <f>IF(E81=5, 200, IF(E81=3, 150, IF(E81=2, 50, "")))</f>
        <v>50</v>
      </c>
      <c r="M81" s="20" t="str">
        <f>IF(H81=3,100,IF(H81=5,200,""))</f>
        <v/>
      </c>
      <c r="N81" s="20"/>
      <c r="O81" s="20"/>
      <c r="P81" s="1"/>
      <c r="Q81" s="1"/>
      <c r="R81" s="17">
        <f>SUM(K81:Q81)</f>
        <v>50</v>
      </c>
      <c r="T81" s="14">
        <f>R81+J81</f>
        <v>250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139</v>
      </c>
      <c r="D82" s="20">
        <v>4</v>
      </c>
      <c r="E82" s="1">
        <v>4</v>
      </c>
      <c r="F82" s="1"/>
      <c r="G82" s="1"/>
      <c r="H82" s="1"/>
      <c r="I82" s="1"/>
      <c r="J82" s="19">
        <f>(D82*D$60)+(E82*E$60)+(F82*F$60)+(G82*G$60)+(H82*H$60)+(I82*I$60)</f>
        <v>420</v>
      </c>
      <c r="K82" s="43" t="str">
        <f>IF(D82&gt;=100, 250, IF(D82&gt;=50, 150, IF(D82&gt;=30, 50, "")))</f>
        <v/>
      </c>
      <c r="L82" s="20">
        <v>150</v>
      </c>
      <c r="M82" s="20" t="str">
        <f>IF(H82=3,100,IF(H82=5,200,""))</f>
        <v/>
      </c>
      <c r="N82" s="20"/>
      <c r="O82" s="20"/>
      <c r="P82" s="1"/>
      <c r="Q82" s="1"/>
      <c r="R82" s="17">
        <f>SUM(K82:Q82)</f>
        <v>150</v>
      </c>
      <c r="T82" s="14">
        <f>R82+J82</f>
        <v>570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109</v>
      </c>
      <c r="D83" s="20">
        <v>3</v>
      </c>
      <c r="E83" s="1"/>
      <c r="F83" s="1"/>
      <c r="G83" s="1"/>
      <c r="H83" s="1">
        <v>1</v>
      </c>
      <c r="I83" s="1"/>
      <c r="J83" s="19">
        <f>(D83*D$60)+(E83*E$60)+(F83*F$60)+(G83*G$60)+(H83*H$60)+(I83*I$60)</f>
        <v>65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65</v>
      </c>
      <c r="V83" s="28"/>
      <c r="W83" s="29"/>
      <c r="X83" s="28"/>
      <c r="Y83" s="28"/>
      <c r="Z83" s="28"/>
      <c r="AA83" s="28"/>
    </row>
    <row r="84" spans="2:27" ht="15" thickBot="1" x14ac:dyDescent="0.35">
      <c r="B84" s="68"/>
      <c r="C84" s="11" t="s">
        <v>77</v>
      </c>
      <c r="D84" s="12"/>
      <c r="E84" s="10">
        <v>2</v>
      </c>
      <c r="F84" s="10">
        <v>2</v>
      </c>
      <c r="G84" s="10"/>
      <c r="H84" s="10"/>
      <c r="I84" s="10"/>
      <c r="J84" s="11">
        <f>(D84*D$60)+(E84*E$60)+(F84*F$60)+(G84*G$60)+(H84*H$60)+(I84*I$60)</f>
        <v>300</v>
      </c>
      <c r="K84" s="9" t="str">
        <f>IF(D84&gt;=100, 250, IF(D84&gt;=50, 150, IF(D84&gt;=30, 50, "")))</f>
        <v/>
      </c>
      <c r="L84" s="12">
        <f>IF(E84=5, 200, IF(E84=3, 150, IF(E84=2, 50, "")))</f>
        <v>50</v>
      </c>
      <c r="M84" s="12" t="str">
        <f>IF(H84=3,100,IF(H84=5,200,""))</f>
        <v/>
      </c>
      <c r="N84" s="12"/>
      <c r="O84" s="12"/>
      <c r="P84" s="10"/>
      <c r="Q84" s="10"/>
      <c r="R84" s="13">
        <f>SUM(K84:Q84)</f>
        <v>50</v>
      </c>
      <c r="T84" s="34">
        <f>R84+J84</f>
        <v>350</v>
      </c>
      <c r="V84" s="28"/>
      <c r="W84" s="29"/>
      <c r="X84" s="28"/>
      <c r="Y84" s="28"/>
      <c r="Z84" s="28"/>
      <c r="AA84" s="28"/>
    </row>
    <row r="85" spans="2:27" ht="15" thickBot="1" x14ac:dyDescent="0.35">
      <c r="T85" s="37">
        <f>SUM(T80:T84)</f>
        <v>2265</v>
      </c>
      <c r="V85" s="28"/>
      <c r="W85" s="29"/>
      <c r="X85" s="28"/>
      <c r="Y85" s="28"/>
      <c r="Z85" s="28"/>
      <c r="AA85" s="28"/>
    </row>
  </sheetData>
  <mergeCells count="8">
    <mergeCell ref="B74:B78"/>
    <mergeCell ref="B80:B84"/>
    <mergeCell ref="B30:B34"/>
    <mergeCell ref="B36:B40"/>
    <mergeCell ref="B42:B46"/>
    <mergeCell ref="B48:B52"/>
    <mergeCell ref="B62:B66"/>
    <mergeCell ref="B68:B7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AK87"/>
  <sheetViews>
    <sheetView topLeftCell="A61" zoomScale="90" zoomScaleNormal="90" workbookViewId="0">
      <selection activeCell="AE87" sqref="AE87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7.6640625" style="3" bestFit="1" customWidth="1"/>
    <col min="25" max="26" width="8.6640625" style="3" bestFit="1" customWidth="1"/>
    <col min="27" max="27" width="7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F3" s="47"/>
      <c r="AG3" s="47" t="s">
        <v>211</v>
      </c>
      <c r="AH3" s="48" t="s">
        <v>96</v>
      </c>
      <c r="AI3" s="48" t="s">
        <v>97</v>
      </c>
      <c r="AJ3" s="48" t="s">
        <v>98</v>
      </c>
      <c r="AK3" s="46"/>
    </row>
    <row r="4" spans="2:37" x14ac:dyDescent="0.3">
      <c r="AE4" s="46"/>
      <c r="AF4" s="49" t="s">
        <v>165</v>
      </c>
      <c r="AG4" s="49">
        <v>-4745</v>
      </c>
      <c r="AH4" s="49">
        <v>2405</v>
      </c>
      <c r="AI4" s="49">
        <v>10275</v>
      </c>
      <c r="AJ4" s="49">
        <v>-7935</v>
      </c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F5" s="49" t="s">
        <v>210</v>
      </c>
      <c r="AG5" s="49">
        <v>-5315</v>
      </c>
      <c r="AH5" s="49">
        <v>-3535</v>
      </c>
      <c r="AI5" s="49">
        <v>5950</v>
      </c>
      <c r="AJ5" s="49">
        <v>2900</v>
      </c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F6" s="49" t="s">
        <v>0</v>
      </c>
      <c r="AG6" s="49">
        <f>AG5+AG4</f>
        <v>-10060</v>
      </c>
      <c r="AH6" s="49">
        <f>AH5+AH4</f>
        <v>-1130</v>
      </c>
      <c r="AI6" s="49">
        <f>AI5+AI4</f>
        <v>16225</v>
      </c>
      <c r="AJ6" s="49">
        <f>AJ5+AJ4</f>
        <v>-5035</v>
      </c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F7" s="46"/>
      <c r="AG7" s="46"/>
      <c r="AH7" s="46"/>
      <c r="AI7" s="46"/>
      <c r="AJ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F8" s="46"/>
      <c r="AG8" s="46"/>
      <c r="AH8" s="46"/>
      <c r="AI8" s="46"/>
      <c r="AJ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27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27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</row>
    <row r="31" spans="2:27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3045</v>
      </c>
      <c r="Y31" s="42">
        <f>SUM(Y32:Y39)</f>
        <v>-1065</v>
      </c>
      <c r="Z31" s="42">
        <f>SUM(Z32:Z39)</f>
        <v>-1060</v>
      </c>
      <c r="AA31" s="42">
        <f>SUM(AA32:AA39)</f>
        <v>-920</v>
      </c>
    </row>
    <row r="32" spans="2:27" x14ac:dyDescent="0.3">
      <c r="B32" s="66" t="s">
        <v>211</v>
      </c>
      <c r="C32" s="38" t="s">
        <v>176</v>
      </c>
      <c r="D32" s="5">
        <v>77</v>
      </c>
      <c r="E32" s="6"/>
      <c r="F32" s="6"/>
      <c r="G32" s="6"/>
      <c r="H32" s="6"/>
      <c r="I32" s="6"/>
      <c r="J32" s="7">
        <f>(D32*D$62)+(E32*E$62)+(F32*F$62)+(G32*G$62)+(H32*H$62)+(I32*I$62)</f>
        <v>385</v>
      </c>
      <c r="K32" s="15">
        <f>IF(D32&gt;=100, 250, IF(D32&gt;=50, 150, IF(D32&gt;=30, 50, "")))</f>
        <v>150</v>
      </c>
      <c r="L32" s="15" t="str">
        <f>IF(E32=5, 200, IF(E32=3, 150, IF(E32=2, 50, "")))</f>
        <v/>
      </c>
      <c r="M32" s="15" t="str">
        <f>IF(H32=3,100,IF(H32=5,200,""))</f>
        <v/>
      </c>
      <c r="N32" s="15"/>
      <c r="O32" s="15"/>
      <c r="P32" s="16"/>
      <c r="Q32" s="16"/>
      <c r="R32" s="17">
        <f>SUM(K32:Q32)</f>
        <v>150</v>
      </c>
      <c r="T32" s="14">
        <f>(R32+J32)*2</f>
        <v>1070</v>
      </c>
      <c r="V32" s="28">
        <v>1</v>
      </c>
      <c r="W32" s="29">
        <v>45752</v>
      </c>
      <c r="X32" s="28">
        <f>-(Y32+Z32+AA32)</f>
        <v>3045</v>
      </c>
      <c r="Y32" s="28">
        <f>T43-T37</f>
        <v>-1065</v>
      </c>
      <c r="Z32" s="28">
        <f>T49-T37</f>
        <v>-1060</v>
      </c>
      <c r="AA32" s="28">
        <f>T55-T37</f>
        <v>-920</v>
      </c>
    </row>
    <row r="33" spans="2:27" x14ac:dyDescent="0.3">
      <c r="B33" s="67"/>
      <c r="C33" s="4" t="s">
        <v>217</v>
      </c>
      <c r="D33" s="18">
        <v>13</v>
      </c>
      <c r="E33" s="1"/>
      <c r="F33" s="1"/>
      <c r="G33" s="1"/>
      <c r="H33" s="1"/>
      <c r="I33" s="1"/>
      <c r="J33" s="19">
        <f>(D33*D$62)+(E33*E$62)+(F33*F$62)+(G33*G$62)+(H33*H$62)+(I33*I$62)</f>
        <v>65</v>
      </c>
      <c r="K33" s="15" t="str">
        <f>IF(D33&gt;=100, 250, IF(D33&gt;=50, 150, IF(D33&gt;=30, 50, "")))</f>
        <v/>
      </c>
      <c r="L33" s="20" t="str">
        <f>IF(E33=5, 200, IF(E33=3, 150, IF(E33=2, 50, "")))</f>
        <v/>
      </c>
      <c r="M33" s="20" t="str">
        <f>IF(H33=3,100,IF(H33=5,200,""))</f>
        <v/>
      </c>
      <c r="N33" s="20"/>
      <c r="O33" s="20"/>
      <c r="P33" s="1"/>
      <c r="Q33" s="1"/>
      <c r="R33" s="17">
        <f>SUM(K33:Q33)</f>
        <v>0</v>
      </c>
      <c r="T33" s="14">
        <f>R33+J33</f>
        <v>65</v>
      </c>
      <c r="V33" s="28">
        <v>2</v>
      </c>
      <c r="W33" s="44"/>
      <c r="X33" s="45"/>
      <c r="Y33" s="45"/>
      <c r="Z33" s="45"/>
      <c r="AA33" s="45"/>
    </row>
    <row r="34" spans="2:27" x14ac:dyDescent="0.3">
      <c r="B34" s="67"/>
      <c r="C34" s="4" t="s">
        <v>218</v>
      </c>
      <c r="D34" s="18"/>
      <c r="E34" s="1">
        <v>1</v>
      </c>
      <c r="F34" s="1"/>
      <c r="G34" s="1"/>
      <c r="H34" s="1">
        <v>1</v>
      </c>
      <c r="I34" s="1"/>
      <c r="J34" s="19">
        <f>(D34*D$62)+(E34*E$62)+(F34*F$62)+(G34*G$62)+(H34*H$62)+(I34*I$62)</f>
        <v>150</v>
      </c>
      <c r="K34" s="15" t="str">
        <f>IF(D34&gt;=100, 250, IF(D34&gt;=50, 150, IF(D34&gt;=30, 50, "")))</f>
        <v/>
      </c>
      <c r="L34" s="20" t="str">
        <f>IF(E34=5, 200, IF(E34=3, 150, IF(E34=2, 50, "")))</f>
        <v/>
      </c>
      <c r="M34" s="20" t="str">
        <f>IF(H34=3,100,IF(H34=5,200,""))</f>
        <v/>
      </c>
      <c r="N34" s="20"/>
      <c r="O34" s="20"/>
      <c r="P34" s="1"/>
      <c r="Q34" s="1"/>
      <c r="R34" s="17">
        <f>SUM(K34:Q34)</f>
        <v>0</v>
      </c>
      <c r="T34" s="14">
        <f>R34+J34</f>
        <v>150</v>
      </c>
      <c r="V34" s="28">
        <v>3</v>
      </c>
      <c r="W34" s="44"/>
      <c r="X34" s="45"/>
      <c r="Y34" s="45"/>
      <c r="Z34" s="45"/>
      <c r="AA34" s="45"/>
    </row>
    <row r="35" spans="2:27" x14ac:dyDescent="0.3">
      <c r="B35" s="67"/>
      <c r="C35" s="4" t="s">
        <v>175</v>
      </c>
      <c r="D35" s="18">
        <v>1</v>
      </c>
      <c r="E35" s="1">
        <v>2</v>
      </c>
      <c r="F35" s="1"/>
      <c r="G35" s="1"/>
      <c r="H35" s="1"/>
      <c r="I35" s="1"/>
      <c r="J35" s="19">
        <f>(D35*D$62)+(E35*E$62)+(F35*F$62)+(G35*G$62)+(H35*H$62)+(I35*I$62)</f>
        <v>205</v>
      </c>
      <c r="K35" s="15" t="str">
        <f>IF(D35&gt;=100, 250, IF(D35&gt;=50, 150, IF(D35&gt;=30, 50, "")))</f>
        <v/>
      </c>
      <c r="L35" s="20">
        <f>IF(E35=5, 200, IF(E35=3, 150, IF(E35=2, 50, "")))</f>
        <v>50</v>
      </c>
      <c r="M35" s="20" t="str">
        <f>IF(H35=3,100,IF(H35=5,200,""))</f>
        <v/>
      </c>
      <c r="N35" s="20"/>
      <c r="O35" s="20"/>
      <c r="P35" s="1"/>
      <c r="Q35" s="1"/>
      <c r="R35" s="17">
        <f>SUM(K35:Q35)</f>
        <v>50</v>
      </c>
      <c r="T35" s="14">
        <f>R35+J35</f>
        <v>255</v>
      </c>
      <c r="V35" s="28">
        <v>4</v>
      </c>
      <c r="W35" s="44"/>
      <c r="X35" s="45"/>
      <c r="Y35" s="45"/>
      <c r="Z35" s="45"/>
      <c r="AA35" s="45"/>
    </row>
    <row r="36" spans="2:27" ht="15" thickBot="1" x14ac:dyDescent="0.35">
      <c r="B36" s="68"/>
      <c r="C36" s="21" t="s">
        <v>58</v>
      </c>
      <c r="D36" s="9"/>
      <c r="E36" s="10"/>
      <c r="F36" s="10"/>
      <c r="G36" s="10"/>
      <c r="H36" s="10"/>
      <c r="I36" s="10"/>
      <c r="J36" s="11">
        <f>(D36*D$62)+(E36*E$62)+(F36*F$62)+(G36*G$62)+(H36*H$62)+(I36*I$62)</f>
        <v>0</v>
      </c>
      <c r="K36" s="12" t="str">
        <f>IF(D36&gt;=100, 250, IF(D36&gt;=50, 150, IF(D36&gt;=30, 50, "")))</f>
        <v/>
      </c>
      <c r="L36" s="12" t="str">
        <f>IF(E36=5, 200, IF(E36=3, 150, IF(E36=2, 50, "")))</f>
        <v/>
      </c>
      <c r="M36" s="12" t="str">
        <f>IF(H36=3,100,IF(H36=5,200,""))</f>
        <v/>
      </c>
      <c r="N36" s="12"/>
      <c r="O36" s="12"/>
      <c r="P36" s="10"/>
      <c r="Q36" s="10"/>
      <c r="R36" s="13">
        <f>SUM(K36:Q36)</f>
        <v>0</v>
      </c>
      <c r="T36" s="22">
        <f>(R36+J36)</f>
        <v>0</v>
      </c>
      <c r="V36" s="28">
        <v>5</v>
      </c>
      <c r="W36" s="29"/>
      <c r="X36" s="28"/>
      <c r="Y36" s="28"/>
      <c r="Z36" s="28"/>
      <c r="AA36" s="28"/>
    </row>
    <row r="37" spans="2:27" ht="15" thickBot="1" x14ac:dyDescent="0.35">
      <c r="T37" s="37">
        <f>SUM(T32:T36)</f>
        <v>1540</v>
      </c>
      <c r="V37" s="28">
        <v>6</v>
      </c>
      <c r="W37" s="29"/>
      <c r="X37" s="28"/>
      <c r="Y37" s="28"/>
      <c r="Z37" s="28"/>
      <c r="AA37" s="28"/>
    </row>
    <row r="38" spans="2:27" x14ac:dyDescent="0.3">
      <c r="B38" s="66" t="s">
        <v>96</v>
      </c>
      <c r="C38" s="39" t="s">
        <v>36</v>
      </c>
      <c r="D38" s="23">
        <v>3</v>
      </c>
      <c r="E38" s="6"/>
      <c r="F38" s="6"/>
      <c r="G38" s="6"/>
      <c r="H38" s="6"/>
      <c r="I38" s="6"/>
      <c r="J38" s="7">
        <f>(D38*D$62)+(E38*E$62)+(F38*F$62)+(G38*G$62)+(H38*H$62)+(I38*I$62)</f>
        <v>15</v>
      </c>
      <c r="K38" s="5" t="str">
        <f>IF(D38&gt;=100, 250, IF(D38&gt;=50, 150, IF(D38&gt;=30, 50, "")))</f>
        <v/>
      </c>
      <c r="L38" s="23" t="str">
        <f>IF(E38=5, 200, IF(E38=3, 150, IF(E38=2, 50, "")))</f>
        <v/>
      </c>
      <c r="M38" s="23" t="str">
        <f>IF(H38=3,100,IF(H38=5,200,""))</f>
        <v/>
      </c>
      <c r="N38" s="23"/>
      <c r="O38" s="23"/>
      <c r="P38" s="6"/>
      <c r="Q38" s="6"/>
      <c r="R38" s="24">
        <f>SUM(K38:Q38)</f>
        <v>0</v>
      </c>
      <c r="T38" s="33">
        <f>(R38+J38)*2</f>
        <v>30</v>
      </c>
      <c r="V38" s="28">
        <v>7</v>
      </c>
      <c r="W38" s="29"/>
      <c r="X38" s="28"/>
      <c r="Y38" s="28"/>
      <c r="Z38" s="28"/>
      <c r="AA38" s="28"/>
    </row>
    <row r="39" spans="2:27" x14ac:dyDescent="0.3">
      <c r="B39" s="67"/>
      <c r="C39" s="19" t="s">
        <v>26</v>
      </c>
      <c r="D39" s="20"/>
      <c r="E39" s="1">
        <v>1</v>
      </c>
      <c r="F39" s="1"/>
      <c r="G39" s="1"/>
      <c r="H39" s="1"/>
      <c r="I39" s="1"/>
      <c r="J39" s="19">
        <f>(D39*D$62)+(E39*E$62)+(F39*F$62)+(G39*G$62)+(H39*H$62)+(I39*I$62)</f>
        <v>100</v>
      </c>
      <c r="K39" s="43" t="str">
        <f>IF(D39&gt;=100, 250, IF(D39&gt;=50, 150, IF(D39&gt;=30, 50, "")))</f>
        <v/>
      </c>
      <c r="L39" s="20" t="str">
        <f>IF(E39=5, 200, IF(E39=3, 150, IF(E39=2, 50, "")))</f>
        <v/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0</v>
      </c>
      <c r="T39" s="14">
        <f>R39+J39</f>
        <v>100</v>
      </c>
      <c r="V39" s="28">
        <v>8</v>
      </c>
      <c r="W39" s="29"/>
      <c r="X39" s="28"/>
      <c r="Y39" s="28"/>
      <c r="Z39" s="28"/>
      <c r="AA39" s="28"/>
    </row>
    <row r="40" spans="2:27" x14ac:dyDescent="0.3">
      <c r="B40" s="67"/>
      <c r="C40" s="19" t="s">
        <v>44</v>
      </c>
      <c r="D40" s="20">
        <v>21</v>
      </c>
      <c r="E40" s="1"/>
      <c r="F40" s="1"/>
      <c r="G40" s="1"/>
      <c r="H40" s="1">
        <v>1</v>
      </c>
      <c r="I40" s="1"/>
      <c r="J40" s="19">
        <f>(D40*D$62)+(E40*E$62)+(F40*F$62)+(G40*G$62)+(H40*H$62)+(I40*I$62)</f>
        <v>155</v>
      </c>
      <c r="K40" s="43" t="str">
        <f>IF(D40&gt;=100, 250, IF(D40&gt;=50, 150, IF(D40&gt;=30, 50, "")))</f>
        <v/>
      </c>
      <c r="L40" s="20" t="str">
        <f>IF(E40=5, 200, IF(E40=3, 150, IF(E40=2, 50, "")))</f>
        <v/>
      </c>
      <c r="M40" s="20" t="str">
        <f>IF(H40=3,100,IF(H40=5,200,""))</f>
        <v/>
      </c>
      <c r="N40" s="20"/>
      <c r="O40" s="20"/>
      <c r="P40" s="1"/>
      <c r="Q40" s="1"/>
      <c r="R40" s="17">
        <f>SUM(K40:Q40)</f>
        <v>0</v>
      </c>
      <c r="T40" s="14">
        <f>R40+J40</f>
        <v>155</v>
      </c>
      <c r="V40" s="28"/>
      <c r="W40" s="29"/>
      <c r="X40" s="28"/>
      <c r="Y40" s="28"/>
      <c r="Z40" s="28"/>
      <c r="AA40" s="28"/>
    </row>
    <row r="41" spans="2:27" x14ac:dyDescent="0.3">
      <c r="B41" s="67"/>
      <c r="C41" s="19" t="s">
        <v>66</v>
      </c>
      <c r="D41" s="20">
        <v>18</v>
      </c>
      <c r="E41" s="1"/>
      <c r="F41" s="1"/>
      <c r="G41" s="1"/>
      <c r="H41" s="1"/>
      <c r="I41" s="1"/>
      <c r="J41" s="19">
        <f>(D41*D$62)+(E41*E$62)+(F41*F$62)+(G41*G$62)+(H41*H$62)+(I41*I$62)</f>
        <v>90</v>
      </c>
      <c r="K41" s="43" t="str">
        <f>IF(D41&gt;=100, 250, IF(D41&gt;=50, 150, IF(D41&gt;=30, 50, "")))</f>
        <v/>
      </c>
      <c r="L41" s="20" t="str">
        <f>IF(E41=5, 200, IF(E41=3, 150, IF(E41=2, 50, "")))</f>
        <v/>
      </c>
      <c r="M41" s="20" t="str">
        <f>IF(H41=3,100,IF(H41=5,200,""))</f>
        <v/>
      </c>
      <c r="N41" s="20"/>
      <c r="O41" s="20"/>
      <c r="P41" s="1"/>
      <c r="Q41" s="1"/>
      <c r="R41" s="17">
        <f>SUM(K41:Q41)</f>
        <v>0</v>
      </c>
      <c r="T41" s="14">
        <f>R41+J41</f>
        <v>90</v>
      </c>
      <c r="V41" s="28"/>
      <c r="W41" s="29"/>
      <c r="X41" s="28"/>
      <c r="Y41" s="28"/>
      <c r="Z41" s="28"/>
      <c r="AA41" s="28"/>
    </row>
    <row r="42" spans="2:27" ht="15" thickBot="1" x14ac:dyDescent="0.35">
      <c r="B42" s="68"/>
      <c r="C42" s="11" t="s">
        <v>219</v>
      </c>
      <c r="D42" s="12">
        <v>20</v>
      </c>
      <c r="E42" s="10"/>
      <c r="F42" s="10"/>
      <c r="G42" s="10"/>
      <c r="H42" s="10"/>
      <c r="I42" s="10"/>
      <c r="J42" s="11">
        <f>(D42*D$62)+(E42*E$62)+(F42*F$62)+(G42*G$62)+(H42*H$62)+(I42*I$62)</f>
        <v>100</v>
      </c>
      <c r="K42" s="9" t="str">
        <f>IF(D42&gt;=100, 250, IF(D42&gt;=50, 150, IF(D42&gt;=30, 50, "")))</f>
        <v/>
      </c>
      <c r="L42" s="12" t="str">
        <f>IF(E42=5, 200, IF(E42=3, 150, IF(E42=2, 50, "")))</f>
        <v/>
      </c>
      <c r="M42" s="12" t="str">
        <f>IF(H42=3,100,IF(H42=5,200,""))</f>
        <v/>
      </c>
      <c r="N42" s="12"/>
      <c r="O42" s="12"/>
      <c r="P42" s="10"/>
      <c r="Q42" s="10"/>
      <c r="R42" s="13">
        <f>SUM(K42:Q42)</f>
        <v>0</v>
      </c>
      <c r="T42" s="34">
        <f>R42+J42</f>
        <v>100</v>
      </c>
      <c r="V42" s="28"/>
      <c r="W42" s="29"/>
      <c r="X42" s="28"/>
      <c r="Y42" s="28"/>
      <c r="Z42" s="28"/>
      <c r="AA42" s="28"/>
    </row>
    <row r="43" spans="2:27" ht="15" thickBot="1" x14ac:dyDescent="0.35">
      <c r="T43" s="37">
        <f>SUM(T38:T42)</f>
        <v>475</v>
      </c>
      <c r="V43" s="28"/>
      <c r="W43" s="29"/>
      <c r="X43" s="28"/>
      <c r="Y43" s="28"/>
      <c r="Z43" s="28"/>
      <c r="AA43" s="28"/>
    </row>
    <row r="44" spans="2:27" x14ac:dyDescent="0.3">
      <c r="B44" s="66" t="s">
        <v>97</v>
      </c>
      <c r="C44" s="39" t="s">
        <v>220</v>
      </c>
      <c r="D44" s="23">
        <v>0</v>
      </c>
      <c r="E44" s="6"/>
      <c r="F44" s="6"/>
      <c r="G44" s="6"/>
      <c r="H44" s="6">
        <v>1</v>
      </c>
      <c r="I44" s="6">
        <v>1</v>
      </c>
      <c r="J44" s="7">
        <f>(D44*D$62)+(E44*E$62)+(F44*F$62)+(G44*G$62)+(H44*H$62)+(I44*I$62)</f>
        <v>0</v>
      </c>
      <c r="K44" s="5" t="str">
        <f>IF(D44&gt;=100, 250, IF(D44&gt;=50, 150, IF(D44&gt;=30, 50, "")))</f>
        <v/>
      </c>
      <c r="L44" s="23" t="str">
        <f>IF(E44=5, 200, IF(E44=3, 150, IF(E44=2, 50, "")))</f>
        <v/>
      </c>
      <c r="M44" s="23" t="str">
        <f>IF(H44=3,100,IF(H44=5,200,""))</f>
        <v/>
      </c>
      <c r="N44" s="23"/>
      <c r="O44" s="23"/>
      <c r="P44" s="6"/>
      <c r="Q44" s="6"/>
      <c r="R44" s="24">
        <f>SUM(K44:Q44)</f>
        <v>0</v>
      </c>
      <c r="T44" s="33">
        <f>(R44+J44)*2</f>
        <v>0</v>
      </c>
      <c r="V44" s="28"/>
      <c r="W44" s="29"/>
      <c r="X44" s="28"/>
      <c r="Y44" s="28"/>
      <c r="Z44" s="28"/>
      <c r="AA44" s="28"/>
    </row>
    <row r="45" spans="2:27" x14ac:dyDescent="0.3">
      <c r="B45" s="67"/>
      <c r="C45" s="19" t="s">
        <v>45</v>
      </c>
      <c r="D45" s="20">
        <v>24</v>
      </c>
      <c r="E45" s="1"/>
      <c r="F45" s="1"/>
      <c r="G45" s="1"/>
      <c r="H45" s="1">
        <v>1</v>
      </c>
      <c r="I45" s="1"/>
      <c r="J45" s="19">
        <f>(D45*D$62)+(E45*E$62)+(F45*F$62)+(G45*G$62)+(H45*H$62)+(I45*I$62)</f>
        <v>170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170</v>
      </c>
      <c r="V45" s="28"/>
      <c r="W45" s="29"/>
      <c r="X45" s="28"/>
      <c r="Y45" s="28"/>
      <c r="Z45" s="28"/>
      <c r="AA45" s="28"/>
    </row>
    <row r="46" spans="2:27" x14ac:dyDescent="0.3">
      <c r="B46" s="67"/>
      <c r="C46" s="19" t="s">
        <v>47</v>
      </c>
      <c r="D46" s="20"/>
      <c r="E46" s="1">
        <v>1</v>
      </c>
      <c r="F46" s="1"/>
      <c r="G46" s="1"/>
      <c r="H46" s="1"/>
      <c r="I46" s="1"/>
      <c r="J46" s="19">
        <f>(D46*D$62)+(E46*E$62)+(F46*F$62)+(G46*G$62)+(H46*H$62)+(I46*I$62)</f>
        <v>100</v>
      </c>
      <c r="K46" s="43" t="str">
        <f>IF(D46&gt;=100, 250, IF(D46&gt;=50, 150, IF(D46&gt;=30, 50, "")))</f>
        <v/>
      </c>
      <c r="L46" s="20" t="str">
        <f>IF(E46=5, 250, IF(E46=3, 150, IF(E46=2, 50, "")))</f>
        <v/>
      </c>
      <c r="M46" s="20" t="str">
        <f>IF(H46=3,100,IF(H46=5,200,""))</f>
        <v/>
      </c>
      <c r="N46" s="20"/>
      <c r="O46" s="20"/>
      <c r="P46" s="1"/>
      <c r="Q46" s="1"/>
      <c r="R46" s="17">
        <f>SUM(K46:Q46)</f>
        <v>0</v>
      </c>
      <c r="T46" s="14">
        <f>R46+J46</f>
        <v>100</v>
      </c>
      <c r="V46" s="28"/>
      <c r="W46" s="29"/>
      <c r="X46" s="28"/>
      <c r="Y46" s="28"/>
      <c r="Z46" s="28"/>
      <c r="AA46" s="28"/>
    </row>
    <row r="47" spans="2:27" x14ac:dyDescent="0.3">
      <c r="B47" s="67"/>
      <c r="C47" s="19" t="s">
        <v>221</v>
      </c>
      <c r="D47" s="20"/>
      <c r="E47" s="1"/>
      <c r="F47" s="1"/>
      <c r="G47" s="1"/>
      <c r="H47" s="1"/>
      <c r="I47" s="1"/>
      <c r="J47" s="19">
        <f>(D47*D$62)+(E47*E$62)+(F47*F$62)+(G47*G$62)+(H47*H$62)+(I47*I$62)</f>
        <v>0</v>
      </c>
      <c r="K47" s="43" t="str">
        <f>IF(D47&gt;=100, 250, IF(D47&gt;=50, 150, IF(D47&gt;=30, 50, "")))</f>
        <v/>
      </c>
      <c r="L47" s="20" t="str">
        <f>IF(E47=5, 200, IF(E47=3, 150, IF(E47=2, 50, "")))</f>
        <v/>
      </c>
      <c r="M47" s="20" t="str">
        <f>IF(H47=3,100,IF(H47=5,200,""))</f>
        <v/>
      </c>
      <c r="N47" s="20"/>
      <c r="O47" s="20"/>
      <c r="P47" s="1"/>
      <c r="Q47" s="1"/>
      <c r="R47" s="17">
        <f>SUM(K47:Q47)</f>
        <v>0</v>
      </c>
      <c r="T47" s="14">
        <f>R47+J47</f>
        <v>0</v>
      </c>
      <c r="V47" s="28"/>
      <c r="W47" s="29"/>
      <c r="X47" s="28"/>
      <c r="Y47" s="28"/>
      <c r="Z47" s="28"/>
      <c r="AA47" s="28"/>
    </row>
    <row r="48" spans="2:27" ht="15" thickBot="1" x14ac:dyDescent="0.35">
      <c r="B48" s="68"/>
      <c r="C48" s="11" t="s">
        <v>59</v>
      </c>
      <c r="D48" s="12">
        <v>2</v>
      </c>
      <c r="E48" s="10">
        <v>1</v>
      </c>
      <c r="F48" s="10">
        <v>1</v>
      </c>
      <c r="G48" s="10"/>
      <c r="H48" s="10">
        <v>1</v>
      </c>
      <c r="I48" s="10"/>
      <c r="J48" s="11">
        <f>(D48*D$62)+(E48*E$62)+(F48*F$62)+(G48*G$62)+(H48*H$62)+(I48*I$62)</f>
        <v>210</v>
      </c>
      <c r="K48" s="9" t="str">
        <f>IF(D48&gt;=100, 250, IF(D48&gt;=50, 150, IF(D48&gt;=30, 50, "")))</f>
        <v/>
      </c>
      <c r="L48" s="12" t="str">
        <f>IF(E48=5, 200, IF(E48=3, 150, IF(E48=2, 50, "")))</f>
        <v/>
      </c>
      <c r="M48" s="12" t="str">
        <f>IF(H48=3,100,IF(H48=5,200,""))</f>
        <v/>
      </c>
      <c r="N48" s="12"/>
      <c r="O48" s="12"/>
      <c r="P48" s="10"/>
      <c r="Q48" s="10"/>
      <c r="R48" s="13">
        <f>SUM(K48:Q48)</f>
        <v>0</v>
      </c>
      <c r="T48" s="34">
        <f>R48+J48</f>
        <v>210</v>
      </c>
      <c r="V48" s="28"/>
      <c r="W48" s="29"/>
      <c r="X48" s="28"/>
      <c r="Y48" s="28"/>
      <c r="Z48" s="28"/>
      <c r="AA48" s="28"/>
    </row>
    <row r="49" spans="2:27" ht="15" thickBot="1" x14ac:dyDescent="0.35">
      <c r="T49" s="37">
        <f>SUM(T44:T48)</f>
        <v>480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222</v>
      </c>
      <c r="D50" s="23">
        <v>5</v>
      </c>
      <c r="E50" s="6"/>
      <c r="F50" s="6"/>
      <c r="G50" s="6"/>
      <c r="H50" s="6"/>
      <c r="I50" s="6"/>
      <c r="J50" s="7">
        <f>(D50*D$62)+(E50*E$62)+(F50*F$62)+(G50*G$62)+(H50*H$62)+(I50*I$62)</f>
        <v>25</v>
      </c>
      <c r="K50" s="5" t="str">
        <f>IF(D50&gt;=100, 250, IF(D50&gt;=50, 150, IF(D50&gt;=30, 50, "")))</f>
        <v/>
      </c>
      <c r="L50" s="23" t="str">
        <f>IF(E50=5, 200, IF(E50=3, 150, IF(E50=2, 50, "")))</f>
        <v/>
      </c>
      <c r="M50" s="23" t="str">
        <f>IF(H50=3,100,IF(H50=5,200,""))</f>
        <v/>
      </c>
      <c r="N50" s="23"/>
      <c r="O50" s="23"/>
      <c r="P50" s="6"/>
      <c r="Q50" s="6"/>
      <c r="R50" s="24">
        <f>SUM(K50:Q50)</f>
        <v>0</v>
      </c>
      <c r="T50" s="33">
        <f>(R50+J50)*2</f>
        <v>50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71</v>
      </c>
      <c r="D51" s="20">
        <v>33</v>
      </c>
      <c r="E51" s="1"/>
      <c r="F51" s="1"/>
      <c r="G51" s="1"/>
      <c r="H51" s="1"/>
      <c r="I51" s="1"/>
      <c r="J51" s="19">
        <f>(D51*D$62)+(E51*E$62)+(F51*F$62)+(G51*G$62)+(H51*H$62)+(I51*I$62)</f>
        <v>165</v>
      </c>
      <c r="K51" s="43">
        <f>IF(D51&gt;=100, 250, IF(D51&gt;=50, 150, IF(D51&gt;=30, 50, "")))</f>
        <v>50</v>
      </c>
      <c r="L51" s="20" t="str">
        <f t="shared" ref="L51:L53" si="0">IF(E51=5, 200, IF(E51=3, 150, IF(E51=2, 50, "")))</f>
        <v/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50</v>
      </c>
      <c r="T51" s="14">
        <f>R51+J51</f>
        <v>215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41</v>
      </c>
      <c r="D52" s="20"/>
      <c r="E52" s="1">
        <v>1</v>
      </c>
      <c r="F52" s="1"/>
      <c r="G52" s="1"/>
      <c r="H52" s="1"/>
      <c r="I52" s="1"/>
      <c r="J52" s="19">
        <f>(D52*D$62)+(E52*E$62)+(F52*F$62)+(G52*G$62)+(H52*H$62)+(I52*I$62)</f>
        <v>100</v>
      </c>
      <c r="K52" s="43" t="str">
        <f>IF(D52&gt;=100, 250, IF(D52&gt;=50, 150, IF(D52&gt;=30, 50, "")))</f>
        <v/>
      </c>
      <c r="L52" s="20" t="str">
        <f t="shared" si="0"/>
        <v/>
      </c>
      <c r="M52" s="20" t="str">
        <f>IF(H52=3,100,IF(H52=5,200,""))</f>
        <v/>
      </c>
      <c r="N52" s="20"/>
      <c r="O52" s="20"/>
      <c r="P52" s="1"/>
      <c r="Q52" s="1"/>
      <c r="R52" s="17">
        <f>SUM(K52:Q52)</f>
        <v>0</v>
      </c>
      <c r="T52" s="14">
        <f>R52+J52</f>
        <v>100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77</v>
      </c>
      <c r="D53" s="20"/>
      <c r="E53" s="1">
        <v>2</v>
      </c>
      <c r="F53" s="1"/>
      <c r="G53" s="1"/>
      <c r="H53" s="1"/>
      <c r="I53" s="1"/>
      <c r="J53" s="19">
        <f>(D53*D$62)+(E53*E$62)+(F53*F$62)+(G53*G$62)+(H53*H$62)+(I53*I$62)</f>
        <v>200</v>
      </c>
      <c r="K53" s="43" t="str">
        <f>IF(D53&gt;=100, 250, IF(D53&gt;=50, 150, IF(D53&gt;=30, 50, "")))</f>
        <v/>
      </c>
      <c r="L53" s="20">
        <f t="shared" si="0"/>
        <v>50</v>
      </c>
      <c r="M53" s="20" t="str">
        <f>IF(H53=3,100,IF(H53=5,200,""))</f>
        <v/>
      </c>
      <c r="N53" s="20"/>
      <c r="O53" s="20"/>
      <c r="P53" s="1"/>
      <c r="Q53" s="1"/>
      <c r="R53" s="17">
        <f>SUM(K53:Q53)</f>
        <v>50</v>
      </c>
      <c r="T53" s="14">
        <f>R53+J53</f>
        <v>250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223</v>
      </c>
      <c r="D54" s="12">
        <v>1</v>
      </c>
      <c r="E54" s="10"/>
      <c r="F54" s="10"/>
      <c r="G54" s="10"/>
      <c r="H54" s="10"/>
      <c r="I54" s="10"/>
      <c r="J54" s="11">
        <f>(D54*D$62)+(E54*E$62)+(F54*F$62)+(G54*G$62)+(H54*H$62)+(I54*I$62)</f>
        <v>5</v>
      </c>
      <c r="K54" s="9" t="str">
        <f>IF(D54&gt;=100, 250, IF(D54&gt;=50, 150, IF(D54&gt;=30, 50, "")))</f>
        <v/>
      </c>
      <c r="L54" s="12" t="str">
        <f>IF(E54=5, 200, IF(E54=3, 150, IF(E54=2, 50, "")))</f>
        <v/>
      </c>
      <c r="M54" s="12" t="str">
        <f>IF(H54=3,100,IF(H54=5,200,""))</f>
        <v/>
      </c>
      <c r="N54" s="12"/>
      <c r="O54" s="12"/>
      <c r="P54" s="10"/>
      <c r="Q54" s="10"/>
      <c r="R54" s="13">
        <f>SUM(K54:Q54)</f>
        <v>0</v>
      </c>
      <c r="T54" s="34">
        <f>R54+J54</f>
        <v>5</v>
      </c>
      <c r="V54" s="28"/>
      <c r="W54" s="29"/>
      <c r="X54" s="28"/>
      <c r="Y54" s="28"/>
      <c r="Z54" s="28"/>
      <c r="AA54" s="28"/>
    </row>
    <row r="55" spans="2:27" ht="15" thickBot="1" x14ac:dyDescent="0.35">
      <c r="T55" s="37">
        <f>SUM(T50:T54)</f>
        <v>620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2425</v>
      </c>
      <c r="Y63" s="42">
        <f>SUM(Y64:Y71)</f>
        <v>-1850</v>
      </c>
      <c r="Z63" s="42">
        <f>SUM(Z64:Z71)</f>
        <v>-1490</v>
      </c>
      <c r="AA63" s="42">
        <f>SUM(AA64:AA71)</f>
        <v>915</v>
      </c>
    </row>
    <row r="64" spans="2:27" x14ac:dyDescent="0.3">
      <c r="B64" s="66" t="s">
        <v>211</v>
      </c>
      <c r="C64" s="38" t="s">
        <v>134</v>
      </c>
      <c r="D64" s="5">
        <v>17</v>
      </c>
      <c r="E64" s="6"/>
      <c r="F64" s="6"/>
      <c r="G64" s="6"/>
      <c r="H64" s="6"/>
      <c r="I64" s="6"/>
      <c r="J64" s="7">
        <f>(D64*D$62)+(E64*E$62)+(F64*F$62)+(G64*G$62)+(H64*H$62)+(I64*I$62)</f>
        <v>85</v>
      </c>
      <c r="K64" s="15" t="str">
        <f>IF(D64&gt;=100, 250, IF(D64&gt;=50, 150, IF(D64&gt;=30, 50, "")))</f>
        <v/>
      </c>
      <c r="L64" s="15" t="str">
        <f>IF(E64=5, 200, IF(E64=3, 150, IF(E64=2, 50, "")))</f>
        <v/>
      </c>
      <c r="M64" s="15" t="str">
        <f>IF(H64=3,100,IF(H64=5,200,""))</f>
        <v/>
      </c>
      <c r="N64" s="15"/>
      <c r="O64" s="15"/>
      <c r="P64" s="16"/>
      <c r="Q64" s="16"/>
      <c r="R64" s="17">
        <f>SUM(K64:Q64)</f>
        <v>0</v>
      </c>
      <c r="T64" s="14">
        <f>(R64+J64)*2</f>
        <v>170</v>
      </c>
      <c r="V64" s="28">
        <v>1</v>
      </c>
      <c r="W64" s="29">
        <v>45752</v>
      </c>
      <c r="X64" s="28">
        <v>3045</v>
      </c>
      <c r="Y64" s="28">
        <v>-1065</v>
      </c>
      <c r="Z64" s="28">
        <v>-1060</v>
      </c>
      <c r="AA64" s="28">
        <v>-920</v>
      </c>
    </row>
    <row r="65" spans="2:27" x14ac:dyDescent="0.3">
      <c r="B65" s="67"/>
      <c r="C65" s="4" t="s">
        <v>61</v>
      </c>
      <c r="D65" s="18">
        <v>43</v>
      </c>
      <c r="E65" s="1"/>
      <c r="F65" s="1"/>
      <c r="G65" s="1"/>
      <c r="H65" s="1"/>
      <c r="I65" s="1"/>
      <c r="J65" s="19">
        <f>(D65*D$62)+(E65*E$62)+(F65*F$62)+(G65*G$62)+(H65*H$62)+(I65*I$62)</f>
        <v>215</v>
      </c>
      <c r="K65" s="15">
        <f>IF(D65&gt;=100, 250, IF(D65&gt;=50, 150, IF(D65&gt;=30, 50, "")))</f>
        <v>50</v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50</v>
      </c>
      <c r="T65" s="14">
        <f>R65+J65</f>
        <v>265</v>
      </c>
      <c r="V65" s="28">
        <v>2</v>
      </c>
      <c r="W65" s="29">
        <v>45752</v>
      </c>
      <c r="X65" s="45">
        <f>T69-T87</f>
        <v>-620</v>
      </c>
      <c r="Y65" s="45">
        <f>T75-T87</f>
        <v>-785</v>
      </c>
      <c r="Z65" s="45">
        <f>T81-T87</f>
        <v>-430</v>
      </c>
      <c r="AA65" s="45">
        <f>-(X65+Y65+Z65)</f>
        <v>1835</v>
      </c>
    </row>
    <row r="66" spans="2:27" x14ac:dyDescent="0.3">
      <c r="B66" s="67"/>
      <c r="C66" s="4" t="s">
        <v>139</v>
      </c>
      <c r="D66" s="18"/>
      <c r="E66" s="1">
        <v>1</v>
      </c>
      <c r="F66" s="1"/>
      <c r="G66" s="1"/>
      <c r="H66" s="1">
        <v>2</v>
      </c>
      <c r="I66" s="1"/>
      <c r="J66" s="19">
        <f>(D66*D$62)+(E66*E$62)+(F66*F$62)+(G66*G$62)+(H66*H$62)+(I66*I$62)</f>
        <v>200</v>
      </c>
      <c r="K66" s="15" t="str">
        <f>IF(D66&gt;=100, 250, IF(D66&gt;=50, 150, IF(D66&gt;=30, 50, "")))</f>
        <v/>
      </c>
      <c r="L66" s="20" t="str">
        <f>IF(E66=5, 200, IF(E66=3, 150, IF(E66=2, 50, "")))</f>
        <v/>
      </c>
      <c r="M66" s="20" t="str">
        <f>IF(H66=3,100,IF(H66=5,200,""))</f>
        <v/>
      </c>
      <c r="N66" s="20"/>
      <c r="O66" s="20"/>
      <c r="P66" s="1"/>
      <c r="Q66" s="1"/>
      <c r="R66" s="17">
        <f>SUM(K66:Q66)</f>
        <v>0</v>
      </c>
      <c r="T66" s="14">
        <f>R66+J66</f>
        <v>200</v>
      </c>
      <c r="V66" s="28">
        <v>3</v>
      </c>
      <c r="W66" s="44"/>
      <c r="X66" s="45"/>
      <c r="Y66" s="45"/>
      <c r="Z66" s="45"/>
      <c r="AA66" s="45"/>
    </row>
    <row r="67" spans="2:27" x14ac:dyDescent="0.3">
      <c r="B67" s="67"/>
      <c r="C67" s="4" t="s">
        <v>191</v>
      </c>
      <c r="D67" s="18">
        <v>4</v>
      </c>
      <c r="E67" s="1">
        <v>2</v>
      </c>
      <c r="F67" s="1"/>
      <c r="G67" s="1"/>
      <c r="H67" s="1"/>
      <c r="I67" s="1"/>
      <c r="J67" s="19">
        <f>(D67*D$62)+(E67*E$62)+(F67*F$62)+(G67*G$62)+(H67*H$62)+(I67*I$62)</f>
        <v>220</v>
      </c>
      <c r="K67" s="15" t="str">
        <f>IF(D67&gt;=100, 250, IF(D67&gt;=50, 150, IF(D67&gt;=30, 50, "")))</f>
        <v/>
      </c>
      <c r="L67" s="20">
        <f>IF(E67=5, 200, IF(E67=3, 150, IF(E67=2, 50, "")))</f>
        <v>50</v>
      </c>
      <c r="M67" s="20" t="str">
        <f>IF(H67=3,100,IF(H67=5,200,""))</f>
        <v/>
      </c>
      <c r="N67" s="20"/>
      <c r="O67" s="20"/>
      <c r="P67" s="1"/>
      <c r="Q67" s="1"/>
      <c r="R67" s="17">
        <f>SUM(K67:Q67)</f>
        <v>50</v>
      </c>
      <c r="T67" s="14">
        <f>R67+J67</f>
        <v>270</v>
      </c>
      <c r="V67" s="28">
        <v>4</v>
      </c>
      <c r="W67" s="29"/>
      <c r="X67" s="28"/>
      <c r="Y67" s="28"/>
      <c r="Z67" s="28"/>
      <c r="AA67" s="28"/>
    </row>
    <row r="68" spans="2:27" ht="15" thickBot="1" x14ac:dyDescent="0.35">
      <c r="B68" s="68"/>
      <c r="C68" s="21" t="s">
        <v>179</v>
      </c>
      <c r="D68" s="9">
        <v>20</v>
      </c>
      <c r="E68" s="10"/>
      <c r="F68" s="10"/>
      <c r="G68" s="10"/>
      <c r="H68" s="10">
        <v>2</v>
      </c>
      <c r="I68" s="10"/>
      <c r="J68" s="11">
        <f>(D68*D$62)+(E68*E$62)+(F68*F$62)+(G68*G$62)+(H68*H$62)+(I68*I$62)</f>
        <v>200</v>
      </c>
      <c r="K68" s="12" t="str">
        <f>IF(D68&gt;=100, 250, IF(D68&gt;=50, 150, IF(D68&gt;=30, 50, "")))</f>
        <v/>
      </c>
      <c r="L68" s="12" t="str">
        <f>IF(E68=5, 200, IF(E68=3, 150, IF(E68=2, 50, "")))</f>
        <v/>
      </c>
      <c r="M68" s="12" t="str">
        <f>IF(H68=3,100,IF(H68=5,200,""))</f>
        <v/>
      </c>
      <c r="N68" s="12"/>
      <c r="O68" s="12"/>
      <c r="P68" s="10"/>
      <c r="Q68" s="10"/>
      <c r="R68" s="13">
        <f>SUM(K68:Q68)</f>
        <v>0</v>
      </c>
      <c r="T68" s="22">
        <f>(R68+J68)</f>
        <v>200</v>
      </c>
      <c r="V68" s="28">
        <v>5</v>
      </c>
      <c r="W68" s="29"/>
      <c r="X68" s="28"/>
      <c r="Y68" s="28"/>
      <c r="Z68" s="28"/>
      <c r="AA68" s="28"/>
    </row>
    <row r="69" spans="2:27" ht="15" thickBot="1" x14ac:dyDescent="0.35">
      <c r="T69" s="37">
        <f>SUM(T64:T68)</f>
        <v>1105</v>
      </c>
      <c r="V69" s="28">
        <v>6</v>
      </c>
      <c r="W69" s="29"/>
      <c r="X69" s="28"/>
      <c r="Y69" s="28"/>
      <c r="Z69" s="28"/>
      <c r="AA69" s="28"/>
    </row>
    <row r="70" spans="2:27" x14ac:dyDescent="0.3">
      <c r="B70" s="66" t="s">
        <v>96</v>
      </c>
      <c r="C70" s="39" t="s">
        <v>224</v>
      </c>
      <c r="D70" s="23">
        <v>10</v>
      </c>
      <c r="E70" s="6"/>
      <c r="F70" s="6"/>
      <c r="G70" s="6"/>
      <c r="H70" s="6">
        <v>1</v>
      </c>
      <c r="I70" s="6"/>
      <c r="J70" s="7">
        <f>(D70*D$62)+(E70*E$62)+(F70*F$62)+(G70*G$62)+(H70*H$62)+(I70*I$62)</f>
        <v>100</v>
      </c>
      <c r="K70" s="5" t="str">
        <f>IF(D70&gt;=100, 250, IF(D70&gt;=50, 150, IF(D70&gt;=30, 50, "")))</f>
        <v/>
      </c>
      <c r="L70" s="23" t="str">
        <f>IF(E70=5, 200, IF(E70=3, 150, IF(E70=2, 50, "")))</f>
        <v/>
      </c>
      <c r="M70" s="23" t="str">
        <f>IF(H70=3,100,IF(H70=5,200,""))</f>
        <v/>
      </c>
      <c r="N70" s="23"/>
      <c r="O70" s="23"/>
      <c r="P70" s="6"/>
      <c r="Q70" s="6"/>
      <c r="R70" s="24">
        <f>SUM(K70:Q70)</f>
        <v>0</v>
      </c>
      <c r="T70" s="33">
        <f>(R70+J70)*2</f>
        <v>200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 t="s">
        <v>78</v>
      </c>
      <c r="D71" s="20">
        <v>12</v>
      </c>
      <c r="E71" s="1"/>
      <c r="F71" s="1"/>
      <c r="G71" s="1"/>
      <c r="H71" s="1"/>
      <c r="I71" s="1"/>
      <c r="J71" s="19">
        <f>(D71*D$62)+(E71*E$62)+(F71*F$62)+(G71*G$62)+(H71*H$62)+(I71*I$62)</f>
        <v>60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60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 t="s">
        <v>131</v>
      </c>
      <c r="D72" s="20">
        <v>1</v>
      </c>
      <c r="E72" s="1">
        <v>1</v>
      </c>
      <c r="F72" s="1"/>
      <c r="G72" s="1"/>
      <c r="H72" s="1"/>
      <c r="I72" s="1"/>
      <c r="J72" s="19">
        <f>(D72*D$62)+(E72*E$62)+(F72*F$62)+(G72*G$62)+(H72*H$62)+(I72*I$62)</f>
        <v>105</v>
      </c>
      <c r="K72" s="43" t="str">
        <f>IF(D72&gt;=100, 250, IF(D72&gt;=50, 150, IF(D72&gt;=30, 50, "")))</f>
        <v/>
      </c>
      <c r="L72" s="20" t="str">
        <f>IF(E72=5, 200, IF(E72=3, 150, IF(E72=2, 50, "")))</f>
        <v/>
      </c>
      <c r="M72" s="20" t="str">
        <f>IF(H72=3,100,IF(H72=5,200,""))</f>
        <v/>
      </c>
      <c r="N72" s="20"/>
      <c r="O72" s="20"/>
      <c r="P72" s="1"/>
      <c r="Q72" s="1"/>
      <c r="R72" s="17">
        <f>SUM(K72:Q72)</f>
        <v>0</v>
      </c>
      <c r="T72" s="14">
        <f>R72+J72</f>
        <v>105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 t="s">
        <v>109</v>
      </c>
      <c r="D73" s="20">
        <v>13</v>
      </c>
      <c r="E73" s="1"/>
      <c r="F73" s="1"/>
      <c r="G73" s="1"/>
      <c r="H73" s="1">
        <v>1</v>
      </c>
      <c r="I73" s="1"/>
      <c r="J73" s="19">
        <f>(D73*D$62)+(E73*E$62)+(F73*F$62)+(G73*G$62)+(H73*H$62)+(I73*I$62)</f>
        <v>115</v>
      </c>
      <c r="K73" s="43" t="str">
        <f>IF(D73&gt;=100, 250, IF(D73&gt;=50, 150, IF(D73&gt;=30, 50, "")))</f>
        <v/>
      </c>
      <c r="L73" s="20" t="str">
        <f>IF(E73=5, 200, IF(E73=3, 150, IF(E73=2, 50, "")))</f>
        <v/>
      </c>
      <c r="M73" s="20" t="str">
        <f>IF(H73=3,100,IF(H73=5,200,""))</f>
        <v/>
      </c>
      <c r="N73" s="20"/>
      <c r="O73" s="20"/>
      <c r="P73" s="1"/>
      <c r="Q73" s="1"/>
      <c r="R73" s="17">
        <f>SUM(K73:Q73)</f>
        <v>0</v>
      </c>
      <c r="T73" s="14">
        <f>R73+J73</f>
        <v>115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 t="s">
        <v>225</v>
      </c>
      <c r="D74" s="12">
        <v>62</v>
      </c>
      <c r="E74" s="10"/>
      <c r="F74" s="10"/>
      <c r="G74" s="10"/>
      <c r="H74" s="10"/>
      <c r="I74" s="10"/>
      <c r="J74" s="11">
        <f>(D74*D$62)+(E74*E$62)+(F74*F$62)+(G74*G$62)+(H74*H$62)+(I74*I$62)</f>
        <v>310</v>
      </c>
      <c r="K74" s="9">
        <f>IF(D74&gt;=100, 250, IF(D74&gt;=50, 150, IF(D74&gt;=30, 50, "")))</f>
        <v>150</v>
      </c>
      <c r="L74" s="12" t="str">
        <f>IF(E74=5, 200, IF(E74=3, 150, IF(E74=2, 50, "")))</f>
        <v/>
      </c>
      <c r="M74" s="12" t="str">
        <f>IF(H74=3,100,IF(H74=5,200,""))</f>
        <v/>
      </c>
      <c r="N74" s="12"/>
      <c r="O74" s="12"/>
      <c r="P74" s="10"/>
      <c r="Q74" s="10"/>
      <c r="R74" s="13">
        <f>SUM(K74:Q74)</f>
        <v>150</v>
      </c>
      <c r="T74" s="34">
        <f>R74+J74</f>
        <v>460</v>
      </c>
      <c r="V74" s="28"/>
      <c r="W74" s="29"/>
      <c r="X74" s="28"/>
      <c r="Y74" s="28"/>
      <c r="Z74" s="28"/>
      <c r="AA74" s="28"/>
    </row>
    <row r="75" spans="2:27" ht="15" thickBot="1" x14ac:dyDescent="0.35">
      <c r="T75" s="37">
        <f>SUM(T70:T74)</f>
        <v>940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 t="s">
        <v>52</v>
      </c>
      <c r="D76" s="23">
        <v>38</v>
      </c>
      <c r="E76" s="6"/>
      <c r="F76" s="6"/>
      <c r="G76" s="6"/>
      <c r="H76" s="6"/>
      <c r="I76" s="6"/>
      <c r="J76" s="7">
        <f>(D76*D$62)+(E76*E$62)+(F76*F$62)+(G76*G$62)+(H76*H$62)+(I76*I$62)</f>
        <v>190</v>
      </c>
      <c r="K76" s="5">
        <f>IF(D76&gt;=100, 250, IF(D76&gt;=50, 150, IF(D76&gt;=30, 50, "")))</f>
        <v>50</v>
      </c>
      <c r="L76" s="23" t="str">
        <f>IF(E76=5, 200, IF(E76=3, 150, IF(E76=2, 50, "")))</f>
        <v/>
      </c>
      <c r="M76" s="23" t="str">
        <f>IF(H76=3,100,IF(H76=5,200,""))</f>
        <v/>
      </c>
      <c r="N76" s="23"/>
      <c r="O76" s="23"/>
      <c r="P76" s="6"/>
      <c r="Q76" s="6"/>
      <c r="R76" s="24">
        <f>SUM(K76:Q76)</f>
        <v>50</v>
      </c>
      <c r="T76" s="33">
        <f>(R76+J76)*2</f>
        <v>480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226</v>
      </c>
      <c r="D77" s="20">
        <v>30</v>
      </c>
      <c r="E77" s="1"/>
      <c r="F77" s="1"/>
      <c r="G77" s="1"/>
      <c r="H77" s="1">
        <v>2</v>
      </c>
      <c r="I77" s="1"/>
      <c r="J77" s="19">
        <f>(D77*D$62)+(E77*E$62)+(F77*F$62)+(G77*G$62)+(H77*H$62)+(I77*I$62)</f>
        <v>250</v>
      </c>
      <c r="K77" s="43">
        <f>IF(D77&gt;=100, 250, IF(D77&gt;=50, 150, IF(D77&gt;=30, 50, "")))</f>
        <v>50</v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50</v>
      </c>
      <c r="T77" s="14">
        <f>R77+J77</f>
        <v>300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 t="s">
        <v>227</v>
      </c>
      <c r="D78" s="20">
        <v>0</v>
      </c>
      <c r="E78" s="1"/>
      <c r="F78" s="1"/>
      <c r="G78" s="1"/>
      <c r="H78" s="1"/>
      <c r="I78" s="1">
        <v>1</v>
      </c>
      <c r="J78" s="19">
        <f>(D78*D$62)+(E78*E$62)+(F78*F$62)+(G78*G$62)+(H78*H$62)+(I78*I$62)</f>
        <v>-50</v>
      </c>
      <c r="K78" s="43" t="str">
        <f>IF(D78&gt;=100, 250, IF(D78&gt;=50, 150, IF(D78&gt;=30, 50, "")))</f>
        <v/>
      </c>
      <c r="L78" s="20" t="str">
        <f>IF(E78=5, 200, IF(E78=3, 150, IF(E78=2, 50, "")))</f>
        <v/>
      </c>
      <c r="M78" s="20" t="str">
        <f>IF(H78=3,100,IF(H78=5,200,""))</f>
        <v/>
      </c>
      <c r="N78" s="20"/>
      <c r="O78" s="20"/>
      <c r="P78" s="1"/>
      <c r="Q78" s="1"/>
      <c r="R78" s="17">
        <f>SUM(K78:Q78)</f>
        <v>0</v>
      </c>
      <c r="T78" s="14">
        <f>R78+J78</f>
        <v>-50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 t="s">
        <v>106</v>
      </c>
      <c r="D79" s="20"/>
      <c r="E79" s="1">
        <v>3</v>
      </c>
      <c r="F79" s="1"/>
      <c r="G79" s="1"/>
      <c r="H79" s="1"/>
      <c r="I79" s="1"/>
      <c r="J79" s="19">
        <f>(D79*D$62)+(E79*E$62)+(F79*F$62)+(G79*G$62)+(H79*H$62)+(I79*I$62)</f>
        <v>300</v>
      </c>
      <c r="K79" s="43" t="str">
        <f>IF(D79&gt;=100, 250, IF(D79&gt;=50, 150, IF(D79&gt;=30, 50, "")))</f>
        <v/>
      </c>
      <c r="L79" s="20">
        <f>IF(E79=5, 200, IF(E79=3, 150, IF(E79=2, 50, "")))</f>
        <v>150</v>
      </c>
      <c r="M79" s="20" t="str">
        <f>IF(H79=3,100,IF(H79=5,200,""))</f>
        <v/>
      </c>
      <c r="N79" s="20"/>
      <c r="O79" s="20"/>
      <c r="P79" s="1"/>
      <c r="Q79" s="1"/>
      <c r="R79" s="17">
        <f>SUM(K79:Q79)</f>
        <v>150</v>
      </c>
      <c r="T79" s="14">
        <f>R79+J79</f>
        <v>450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 t="s">
        <v>123</v>
      </c>
      <c r="D80" s="12">
        <v>3</v>
      </c>
      <c r="E80" s="10">
        <v>1</v>
      </c>
      <c r="F80" s="10"/>
      <c r="G80" s="10"/>
      <c r="H80" s="10"/>
      <c r="I80" s="10"/>
      <c r="J80" s="11">
        <f>(D80*D$62)+(E80*E$62)+(F80*F$62)+(G80*G$62)+(H80*H$62)+(I80*I$62)</f>
        <v>115</v>
      </c>
      <c r="K80" s="9" t="str">
        <f>IF(D80&gt;=100, 250, IF(D80&gt;=50, 150, IF(D80&gt;=30, 50, "")))</f>
        <v/>
      </c>
      <c r="L80" s="12" t="str">
        <f>IF(E80=5, 200, IF(E80=3, 150, IF(E80=2, 50, "")))</f>
        <v/>
      </c>
      <c r="M80" s="12" t="str">
        <f>IF(H80=3,100,IF(H80=5,200,""))</f>
        <v/>
      </c>
      <c r="N80" s="12"/>
      <c r="O80" s="12"/>
      <c r="P80" s="10"/>
      <c r="Q80" s="10"/>
      <c r="R80" s="13">
        <f>SUM(K80:Q80)</f>
        <v>0</v>
      </c>
      <c r="T80" s="34">
        <f>R80+J80</f>
        <v>115</v>
      </c>
      <c r="V80" s="28"/>
      <c r="W80" s="29"/>
      <c r="X80" s="28"/>
      <c r="Y80" s="28"/>
      <c r="Z80" s="28"/>
      <c r="AA80" s="28"/>
    </row>
    <row r="81" spans="2:27" ht="15" thickBot="1" x14ac:dyDescent="0.35">
      <c r="T81" s="37">
        <f>SUM(T76:T80)</f>
        <v>1295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 t="s">
        <v>180</v>
      </c>
      <c r="D82" s="23">
        <v>67</v>
      </c>
      <c r="E82" s="6"/>
      <c r="F82" s="6"/>
      <c r="G82" s="6"/>
      <c r="H82" s="6">
        <v>1</v>
      </c>
      <c r="I82" s="6"/>
      <c r="J82" s="7">
        <f>(D82*D$62)+(E82*E$62)+(F82*F$62)+(G82*G$62)+(H82*H$62)+(I82*I$62)</f>
        <v>385</v>
      </c>
      <c r="K82" s="5">
        <f>IF(D82&gt;=100, 250, IF(D82&gt;=50, 150, IF(D82&gt;=30, 50, "")))</f>
        <v>150</v>
      </c>
      <c r="L82" s="23" t="str">
        <f>IF(E82=5, 200, IF(E82=3, 150, IF(E82=2, 50, "")))</f>
        <v/>
      </c>
      <c r="M82" s="23" t="str">
        <f>IF(H82=3,100,IF(H82=5,200,""))</f>
        <v/>
      </c>
      <c r="N82" s="23"/>
      <c r="O82" s="23">
        <v>150</v>
      </c>
      <c r="P82" s="6"/>
      <c r="Q82" s="6"/>
      <c r="R82" s="24">
        <f>SUM(K82:Q82)</f>
        <v>300</v>
      </c>
      <c r="T82" s="33">
        <f>(R82+J82)*2</f>
        <v>1370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126</v>
      </c>
      <c r="D83" s="20">
        <v>1</v>
      </c>
      <c r="E83" s="1"/>
      <c r="F83" s="1"/>
      <c r="G83" s="1"/>
      <c r="H83" s="1"/>
      <c r="I83" s="1"/>
      <c r="J83" s="19">
        <f>(D83*D$62)+(E83*E$62)+(F83*F$62)+(G83*G$62)+(H83*H$62)+(I83*I$62)</f>
        <v>5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5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 t="s">
        <v>127</v>
      </c>
      <c r="D84" s="20"/>
      <c r="E84" s="1"/>
      <c r="F84" s="1"/>
      <c r="G84" s="1"/>
      <c r="H84" s="1"/>
      <c r="I84" s="1"/>
      <c r="J84" s="19">
        <f>(D84*D$62)+(E84*E$62)+(F84*F$62)+(G84*G$62)+(H84*H$62)+(I84*I$62)</f>
        <v>0</v>
      </c>
      <c r="K84" s="43" t="str">
        <f>IF(D84&gt;=100, 250, IF(D84&gt;=50, 150, IF(D84&gt;=30, 50, "")))</f>
        <v/>
      </c>
      <c r="L84" s="20" t="str">
        <f>IF(E84=5, 200, IF(E84=3, 150, IF(E84=2, 50, "")))</f>
        <v/>
      </c>
      <c r="M84" s="20" t="str">
        <f>IF(H84=3,100,IF(H84=5,200,""))</f>
        <v/>
      </c>
      <c r="N84" s="20"/>
      <c r="O84" s="20"/>
      <c r="P84" s="1"/>
      <c r="Q84" s="1"/>
      <c r="R84" s="17">
        <f>SUM(K84:Q84)</f>
        <v>0</v>
      </c>
      <c r="T84" s="14">
        <f>R84+J84</f>
        <v>0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 t="s">
        <v>63</v>
      </c>
      <c r="D85" s="20"/>
      <c r="E85" s="1">
        <v>2</v>
      </c>
      <c r="F85" s="1"/>
      <c r="G85" s="1"/>
      <c r="H85" s="1">
        <v>1</v>
      </c>
      <c r="I85" s="1"/>
      <c r="J85" s="19">
        <f>(D85*D$62)+(E85*E$62)+(F85*F$62)+(G85*G$62)+(H85*H$62)+(I85*I$62)</f>
        <v>250</v>
      </c>
      <c r="K85" s="43" t="str">
        <f>IF(D85&gt;=100, 250, IF(D85&gt;=50, 150, IF(D85&gt;=30, 50, "")))</f>
        <v/>
      </c>
      <c r="L85" s="20">
        <f>IF(E85=5, 200, IF(E85=3, 150, IF(E85=2, 50, "")))</f>
        <v>50</v>
      </c>
      <c r="M85" s="20" t="str">
        <f>IF(H85=3,100,IF(H85=5,200,""))</f>
        <v/>
      </c>
      <c r="N85" s="20"/>
      <c r="O85" s="20"/>
      <c r="P85" s="1"/>
      <c r="Q85" s="1"/>
      <c r="R85" s="17">
        <f>SUM(K85:Q85)</f>
        <v>50</v>
      </c>
      <c r="T85" s="14">
        <f>R85+J85</f>
        <v>300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 t="s">
        <v>228</v>
      </c>
      <c r="D86" s="12">
        <v>10</v>
      </c>
      <c r="E86" s="10"/>
      <c r="F86" s="10"/>
      <c r="G86" s="10"/>
      <c r="H86" s="10"/>
      <c r="I86" s="10"/>
      <c r="J86" s="11">
        <f>(D86*D$62)+(E86*E$62)+(F86*F$62)+(G86*G$62)+(H86*H$62)+(I86*I$62)</f>
        <v>50</v>
      </c>
      <c r="K86" s="9" t="str">
        <f>IF(D86&gt;=100, 250, IF(D86&gt;=50, 150, IF(D86&gt;=30, 50, "")))</f>
        <v/>
      </c>
      <c r="L86" s="12" t="str">
        <f>IF(E86=5, 200, IF(E86=3, 150, IF(E86=2, 50, "")))</f>
        <v/>
      </c>
      <c r="M86" s="12" t="str">
        <f>IF(H86=3,100,IF(H86=5,200,""))</f>
        <v/>
      </c>
      <c r="N86" s="12"/>
      <c r="O86" s="12"/>
      <c r="P86" s="10"/>
      <c r="Q86" s="10"/>
      <c r="R86" s="13">
        <f>SUM(K86:Q86)</f>
        <v>0</v>
      </c>
      <c r="T86" s="34">
        <f>R86+J86</f>
        <v>50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1725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AK87"/>
  <sheetViews>
    <sheetView zoomScale="90" zoomScaleNormal="90" workbookViewId="0">
      <selection activeCell="X34" sqref="X34:AA34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7.6640625" style="3" bestFit="1" customWidth="1"/>
    <col min="25" max="26" width="8.6640625" style="3" bestFit="1" customWidth="1"/>
    <col min="27" max="27" width="7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F3" s="47"/>
      <c r="AG3" s="47" t="s">
        <v>211</v>
      </c>
      <c r="AH3" s="48" t="s">
        <v>96</v>
      </c>
      <c r="AI3" s="48" t="s">
        <v>97</v>
      </c>
      <c r="AJ3" s="48" t="s">
        <v>98</v>
      </c>
      <c r="AK3" s="46"/>
    </row>
    <row r="4" spans="2:37" x14ac:dyDescent="0.3">
      <c r="AE4" s="46"/>
      <c r="AF4" s="49" t="s">
        <v>165</v>
      </c>
      <c r="AG4" s="49">
        <v>-4745</v>
      </c>
      <c r="AH4" s="49">
        <v>2405</v>
      </c>
      <c r="AI4" s="49">
        <v>10275</v>
      </c>
      <c r="AJ4" s="49">
        <v>-7935</v>
      </c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F5" s="49" t="s">
        <v>210</v>
      </c>
      <c r="AG5" s="49">
        <v>-5315</v>
      </c>
      <c r="AH5" s="49">
        <v>-3535</v>
      </c>
      <c r="AI5" s="49">
        <v>5950</v>
      </c>
      <c r="AJ5" s="49">
        <v>2900</v>
      </c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F6" s="49" t="s">
        <v>236</v>
      </c>
      <c r="AG6" s="49">
        <f>X31</f>
        <v>4485</v>
      </c>
      <c r="AH6" s="49">
        <f>Y31</f>
        <v>-2500</v>
      </c>
      <c r="AI6" s="49">
        <f>Z31</f>
        <v>-2265</v>
      </c>
      <c r="AJ6" s="49">
        <f>AA31</f>
        <v>280</v>
      </c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F7" s="46"/>
      <c r="AG7" s="46"/>
      <c r="AH7" s="46"/>
      <c r="AI7" s="46"/>
      <c r="AJ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F8" s="46"/>
      <c r="AG8" s="46"/>
      <c r="AH8" s="46"/>
      <c r="AI8" s="46"/>
      <c r="AJ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6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36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36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  <c r="AF30" s="49" t="s">
        <v>0</v>
      </c>
      <c r="AG30" s="49">
        <f>SUM(AG4:AG29)</f>
        <v>-5575</v>
      </c>
      <c r="AH30" s="49">
        <f t="shared" ref="AH30:AJ30" si="0">SUM(AH4:AH29)</f>
        <v>-3630</v>
      </c>
      <c r="AI30" s="49">
        <f t="shared" si="0"/>
        <v>13960</v>
      </c>
      <c r="AJ30" s="49">
        <f t="shared" si="0"/>
        <v>-4755</v>
      </c>
    </row>
    <row r="31" spans="2:36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4485</v>
      </c>
      <c r="Y31" s="42">
        <f>SUM(Y32:Y39)</f>
        <v>-2500</v>
      </c>
      <c r="Z31" s="42">
        <f>SUM(Z32:Z39)</f>
        <v>-2265</v>
      </c>
      <c r="AA31" s="42">
        <f>SUM(AA32:AA39)</f>
        <v>280</v>
      </c>
    </row>
    <row r="32" spans="2:36" x14ac:dyDescent="0.3">
      <c r="B32" s="66" t="s">
        <v>211</v>
      </c>
      <c r="C32" s="38" t="s">
        <v>120</v>
      </c>
      <c r="D32" s="5">
        <v>61</v>
      </c>
      <c r="E32" s="6"/>
      <c r="F32" s="6"/>
      <c r="G32" s="6"/>
      <c r="H32" s="6"/>
      <c r="I32" s="6"/>
      <c r="J32" s="7">
        <f>(D32*D$62)+(E32*E$62)+(F32*F$62)+(G32*G$62)+(H32*H$62)+(I32*I$62)</f>
        <v>305</v>
      </c>
      <c r="K32" s="15">
        <f>IF(D32&gt;=100, 250, IF(D32&gt;=50, 150, IF(D32&gt;=30, 50, "")))</f>
        <v>150</v>
      </c>
      <c r="L32" s="15" t="str">
        <f>IF(E32=5, 200, IF(E32=3, 150, IF(E32=2, 50, "")))</f>
        <v/>
      </c>
      <c r="M32" s="15" t="str">
        <f>IF(H32=3,100,IF(H32=5,200,""))</f>
        <v/>
      </c>
      <c r="N32" s="15"/>
      <c r="O32" s="15"/>
      <c r="P32" s="16"/>
      <c r="Q32" s="16"/>
      <c r="R32" s="17">
        <f>SUM(K32:Q32)</f>
        <v>150</v>
      </c>
      <c r="T32" s="14">
        <f>(R32+J32)*2</f>
        <v>910</v>
      </c>
      <c r="V32" s="28">
        <v>1</v>
      </c>
      <c r="W32" s="29">
        <v>45752</v>
      </c>
      <c r="X32" s="28">
        <v>3045</v>
      </c>
      <c r="Y32" s="28">
        <v>-1065</v>
      </c>
      <c r="Z32" s="28">
        <v>-1060</v>
      </c>
      <c r="AA32" s="28">
        <v>-920</v>
      </c>
    </row>
    <row r="33" spans="2:32" x14ac:dyDescent="0.3">
      <c r="B33" s="67"/>
      <c r="C33" s="4" t="s">
        <v>56</v>
      </c>
      <c r="D33" s="18">
        <v>17</v>
      </c>
      <c r="E33" s="1"/>
      <c r="F33" s="1"/>
      <c r="G33" s="1"/>
      <c r="H33" s="1"/>
      <c r="I33" s="1"/>
      <c r="J33" s="19">
        <f>(D33*D$62)+(E33*E$62)+(F33*F$62)+(G33*G$62)+(H33*H$62)+(I33*I$62)</f>
        <v>85</v>
      </c>
      <c r="K33" s="15" t="str">
        <f>IF(D33&gt;=100, 250, IF(D33&gt;=50, 150, IF(D33&gt;=30, 50, "")))</f>
        <v/>
      </c>
      <c r="L33" s="20" t="str">
        <f>IF(E33=5, 200, IF(E33=3, 150, IF(E33=2, 50, "")))</f>
        <v/>
      </c>
      <c r="M33" s="20" t="str">
        <f>IF(H33=3,100,IF(H33=5,200,""))</f>
        <v/>
      </c>
      <c r="N33" s="20"/>
      <c r="O33" s="20"/>
      <c r="P33" s="1"/>
      <c r="Q33" s="1"/>
      <c r="R33" s="17">
        <f>SUM(K33:Q33)</f>
        <v>0</v>
      </c>
      <c r="T33" s="14">
        <f>R33+J33</f>
        <v>85</v>
      </c>
      <c r="V33" s="28">
        <v>2</v>
      </c>
      <c r="W33" s="29">
        <v>45752</v>
      </c>
      <c r="X33" s="45">
        <v>-620</v>
      </c>
      <c r="Y33" s="45">
        <v>-785</v>
      </c>
      <c r="Z33" s="45">
        <v>-430</v>
      </c>
      <c r="AA33" s="45">
        <v>1835</v>
      </c>
    </row>
    <row r="34" spans="2:32" x14ac:dyDescent="0.3">
      <c r="B34" s="67"/>
      <c r="C34" s="4" t="s">
        <v>206</v>
      </c>
      <c r="D34" s="18">
        <v>1</v>
      </c>
      <c r="E34" s="1"/>
      <c r="F34" s="1"/>
      <c r="G34" s="1"/>
      <c r="H34" s="1"/>
      <c r="I34" s="1"/>
      <c r="J34" s="19">
        <f>(D34*D$62)+(E34*E$62)+(F34*F$62)+(G34*G$62)+(H34*H$62)+(I34*I$62)</f>
        <v>5</v>
      </c>
      <c r="K34" s="15" t="str">
        <f>IF(D34&gt;=100, 250, IF(D34&gt;=50, 150, IF(D34&gt;=30, 50, "")))</f>
        <v/>
      </c>
      <c r="L34" s="20" t="str">
        <f>IF(E34=5, 200, IF(E34=3, 150, IF(E34=2, 50, "")))</f>
        <v/>
      </c>
      <c r="M34" s="20" t="str">
        <f>IF(H34=3,100,IF(H34=5,200,""))</f>
        <v/>
      </c>
      <c r="N34" s="20"/>
      <c r="O34" s="20"/>
      <c r="P34" s="1"/>
      <c r="Q34" s="1"/>
      <c r="R34" s="17">
        <f>SUM(K34:Q34)</f>
        <v>0</v>
      </c>
      <c r="T34" s="14">
        <f>R34+J34</f>
        <v>5</v>
      </c>
      <c r="V34" s="28">
        <v>3</v>
      </c>
      <c r="W34" s="44">
        <v>45753</v>
      </c>
      <c r="X34" s="28">
        <f>-(Y34+Z34+AA34)</f>
        <v>2060</v>
      </c>
      <c r="Y34" s="28">
        <f>T43-T37</f>
        <v>-650</v>
      </c>
      <c r="Z34" s="28">
        <f>T49-T37</f>
        <v>-775</v>
      </c>
      <c r="AA34" s="28">
        <f>T55-T37</f>
        <v>-635</v>
      </c>
    </row>
    <row r="35" spans="2:32" x14ac:dyDescent="0.3">
      <c r="B35" s="67"/>
      <c r="C35" s="4" t="s">
        <v>132</v>
      </c>
      <c r="D35" s="18"/>
      <c r="E35" s="1">
        <v>2</v>
      </c>
      <c r="F35" s="1"/>
      <c r="G35" s="1"/>
      <c r="H35" s="1"/>
      <c r="I35" s="1"/>
      <c r="J35" s="19">
        <f>(D35*D$62)+(E35*E$62)+(F35*F$62)+(G35*G$62)+(H35*H$62)+(I35*I$62)</f>
        <v>200</v>
      </c>
      <c r="K35" s="15" t="str">
        <f>IF(D35&gt;=100, 250, IF(D35&gt;=50, 150, IF(D35&gt;=30, 50, "")))</f>
        <v/>
      </c>
      <c r="L35" s="20">
        <f>IF(E35=5, 200, IF(E35=3, 150, IF(E35=2, 50, "")))</f>
        <v>50</v>
      </c>
      <c r="M35" s="20" t="str">
        <f>IF(H35=3,100,IF(H35=5,200,""))</f>
        <v/>
      </c>
      <c r="N35" s="20"/>
      <c r="O35" s="20"/>
      <c r="P35" s="1"/>
      <c r="Q35" s="1"/>
      <c r="R35" s="17">
        <f>SUM(K35:Q35)</f>
        <v>50</v>
      </c>
      <c r="T35" s="14">
        <f>R35+J35</f>
        <v>250</v>
      </c>
      <c r="V35" s="28">
        <v>4</v>
      </c>
      <c r="W35" s="44"/>
      <c r="X35" s="45"/>
      <c r="Y35" s="45"/>
      <c r="Z35" s="45"/>
      <c r="AA35" s="45"/>
      <c r="AE35" s="50" t="s">
        <v>5</v>
      </c>
      <c r="AF35" s="50" t="s">
        <v>235</v>
      </c>
    </row>
    <row r="36" spans="2:32" ht="15" thickBot="1" x14ac:dyDescent="0.35">
      <c r="B36" s="68"/>
      <c r="C36" s="21" t="s">
        <v>3</v>
      </c>
      <c r="D36" s="9">
        <v>6</v>
      </c>
      <c r="E36" s="10">
        <v>2</v>
      </c>
      <c r="F36" s="10"/>
      <c r="G36" s="10"/>
      <c r="H36" s="10"/>
      <c r="I36" s="10"/>
      <c r="J36" s="11">
        <f>(D36*D$62)+(E36*E$62)+(F36*F$62)+(G36*G$62)+(H36*H$62)+(I36*I$62)</f>
        <v>230</v>
      </c>
      <c r="K36" s="12" t="str">
        <f>IF(D36&gt;=100, 250, IF(D36&gt;=50, 150, IF(D36&gt;=30, 50, "")))</f>
        <v/>
      </c>
      <c r="L36" s="12">
        <f>IF(E36=5, 200, IF(E36=3, 150, IF(E36=2, 50, "")))</f>
        <v>50</v>
      </c>
      <c r="M36" s="12" t="str">
        <f>IF(H36=3,100,IF(H36=5,200,""))</f>
        <v/>
      </c>
      <c r="N36" s="12"/>
      <c r="O36" s="12"/>
      <c r="P36" s="10"/>
      <c r="Q36" s="10"/>
      <c r="R36" s="13">
        <f>SUM(K36:Q36)</f>
        <v>50</v>
      </c>
      <c r="T36" s="22">
        <f>(R36+J36)</f>
        <v>280</v>
      </c>
      <c r="V36" s="28">
        <v>5</v>
      </c>
      <c r="W36" s="29"/>
      <c r="X36" s="28"/>
      <c r="Y36" s="28"/>
      <c r="Z36" s="28"/>
      <c r="AA36" s="28"/>
      <c r="AE36" s="28" t="s">
        <v>211</v>
      </c>
      <c r="AF36" s="28">
        <f>T37</f>
        <v>1530</v>
      </c>
    </row>
    <row r="37" spans="2:32" ht="15" thickBot="1" x14ac:dyDescent="0.35">
      <c r="T37" s="37">
        <f>SUM(T32:T36)</f>
        <v>1530</v>
      </c>
      <c r="V37" s="28">
        <v>6</v>
      </c>
      <c r="W37" s="29"/>
      <c r="X37" s="28"/>
      <c r="Y37" s="28"/>
      <c r="Z37" s="28"/>
      <c r="AA37" s="28"/>
      <c r="AE37" s="28" t="s">
        <v>96</v>
      </c>
      <c r="AF37" s="28">
        <f>T43</f>
        <v>880</v>
      </c>
    </row>
    <row r="38" spans="2:32" x14ac:dyDescent="0.3">
      <c r="B38" s="66" t="s">
        <v>96</v>
      </c>
      <c r="C38" s="39" t="s">
        <v>125</v>
      </c>
      <c r="D38" s="23">
        <v>0</v>
      </c>
      <c r="E38" s="6"/>
      <c r="F38" s="6"/>
      <c r="G38" s="6"/>
      <c r="H38" s="6"/>
      <c r="I38" s="6">
        <v>1</v>
      </c>
      <c r="J38" s="7">
        <f>(D38*D$62)+(E38*E$62)+(F38*F$62)+(G38*G$62)+(H38*H$62)+(I38*I$62)</f>
        <v>-50</v>
      </c>
      <c r="K38" s="5" t="str">
        <f>IF(D38&gt;=100, 250, IF(D38&gt;=50, 150, IF(D38&gt;=30, 50, "")))</f>
        <v/>
      </c>
      <c r="L38" s="23" t="str">
        <f>IF(E38=5, 200, IF(E38=3, 150, IF(E38=2, 50, "")))</f>
        <v/>
      </c>
      <c r="M38" s="23" t="str">
        <f>IF(H38=3,100,IF(H38=5,200,""))</f>
        <v/>
      </c>
      <c r="N38" s="23"/>
      <c r="O38" s="23"/>
      <c r="P38" s="6"/>
      <c r="Q38" s="6"/>
      <c r="R38" s="24">
        <f>SUM(K38:Q38)</f>
        <v>0</v>
      </c>
      <c r="T38" s="33">
        <f>(R38+J38)*2</f>
        <v>-100</v>
      </c>
      <c r="V38" s="28">
        <v>7</v>
      </c>
      <c r="W38" s="29"/>
      <c r="X38" s="28"/>
      <c r="Y38" s="28"/>
      <c r="Z38" s="28"/>
      <c r="AA38" s="28"/>
      <c r="AE38" s="28" t="s">
        <v>97</v>
      </c>
      <c r="AF38" s="28">
        <f>T49</f>
        <v>755</v>
      </c>
    </row>
    <row r="39" spans="2:32" x14ac:dyDescent="0.3">
      <c r="B39" s="67"/>
      <c r="C39" s="19" t="s">
        <v>105</v>
      </c>
      <c r="D39" s="20">
        <v>31</v>
      </c>
      <c r="E39" s="1"/>
      <c r="F39" s="1"/>
      <c r="G39" s="1"/>
      <c r="H39" s="1"/>
      <c r="I39" s="1"/>
      <c r="J39" s="19">
        <f>(D39*D$62)+(E39*E$62)+(F39*F$62)+(G39*G$62)+(H39*H$62)+(I39*I$62)</f>
        <v>155</v>
      </c>
      <c r="K39" s="43">
        <f>IF(D39&gt;=100, 250, IF(D39&gt;=50, 150, IF(D39&gt;=30, 50, "")))</f>
        <v>50</v>
      </c>
      <c r="L39" s="20" t="str">
        <f>IF(E39=5, 200, IF(E39=3, 150, IF(E39=2, 50, "")))</f>
        <v/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50</v>
      </c>
      <c r="T39" s="14">
        <f>R39+J39</f>
        <v>205</v>
      </c>
      <c r="V39" s="28">
        <v>8</v>
      </c>
      <c r="W39" s="29"/>
      <c r="X39" s="28"/>
      <c r="Y39" s="28"/>
      <c r="Z39" s="28"/>
      <c r="AA39" s="28"/>
      <c r="AE39" s="28" t="s">
        <v>98</v>
      </c>
      <c r="AF39" s="28">
        <f>T55</f>
        <v>895</v>
      </c>
    </row>
    <row r="40" spans="2:32" x14ac:dyDescent="0.3">
      <c r="B40" s="67"/>
      <c r="C40" s="19" t="s">
        <v>233</v>
      </c>
      <c r="D40" s="20">
        <v>35</v>
      </c>
      <c r="E40" s="1"/>
      <c r="F40" s="1"/>
      <c r="G40" s="1"/>
      <c r="H40" s="1"/>
      <c r="I40" s="1"/>
      <c r="J40" s="19">
        <f>(D40*D$62)+(E40*E$62)+(F40*F$62)+(G40*G$62)+(H40*H$62)+(I40*I$62)</f>
        <v>175</v>
      </c>
      <c r="K40" s="43">
        <f>IF(D40&gt;=100, 250, IF(D40&gt;=50, 150, IF(D40&gt;=30, 50, "")))</f>
        <v>50</v>
      </c>
      <c r="L40" s="20" t="str">
        <f>IF(E40=5, 200, IF(E40=3, 150, IF(E40=2, 50, "")))</f>
        <v/>
      </c>
      <c r="M40" s="20" t="str">
        <f>IF(H40=3,100,IF(H40=5,200,""))</f>
        <v/>
      </c>
      <c r="N40" s="20"/>
      <c r="O40" s="20"/>
      <c r="P40" s="1"/>
      <c r="Q40" s="1"/>
      <c r="R40" s="17">
        <f>SUM(K40:Q40)</f>
        <v>50</v>
      </c>
      <c r="T40" s="14">
        <f>R40+J40</f>
        <v>225</v>
      </c>
      <c r="V40" s="28"/>
      <c r="W40" s="29"/>
      <c r="X40" s="28"/>
      <c r="Y40" s="28"/>
      <c r="Z40" s="28"/>
      <c r="AA40" s="28"/>
    </row>
    <row r="41" spans="2:32" x14ac:dyDescent="0.3">
      <c r="B41" s="67"/>
      <c r="C41" s="19" t="s">
        <v>21</v>
      </c>
      <c r="D41" s="20"/>
      <c r="E41" s="1">
        <v>4</v>
      </c>
      <c r="F41" s="1"/>
      <c r="G41" s="1"/>
      <c r="H41" s="1"/>
      <c r="I41" s="1"/>
      <c r="J41" s="19">
        <f>(D41*D$62)+(E41*E$62)+(F41*F$62)+(G41*G$62)+(H41*H$62)+(I41*I$62)</f>
        <v>400</v>
      </c>
      <c r="K41" s="43" t="str">
        <f>IF(D41&gt;=100, 250, IF(D41&gt;=50, 150, IF(D41&gt;=30, 50, "")))</f>
        <v/>
      </c>
      <c r="L41" s="20">
        <v>150</v>
      </c>
      <c r="M41" s="20" t="str">
        <f>IF(H41=3,100,IF(H41=5,200,""))</f>
        <v/>
      </c>
      <c r="N41" s="20"/>
      <c r="O41" s="20"/>
      <c r="P41" s="1"/>
      <c r="Q41" s="1"/>
      <c r="R41" s="17">
        <f>SUM(K41:Q41)</f>
        <v>150</v>
      </c>
      <c r="T41" s="14">
        <f>R41+J41</f>
        <v>550</v>
      </c>
      <c r="V41" s="28"/>
      <c r="W41" s="29"/>
      <c r="X41" s="28"/>
      <c r="Y41" s="28"/>
      <c r="Z41" s="28"/>
      <c r="AA41" s="28"/>
    </row>
    <row r="42" spans="2:32" ht="15" thickBot="1" x14ac:dyDescent="0.35">
      <c r="B42" s="68"/>
      <c r="C42" s="11" t="s">
        <v>234</v>
      </c>
      <c r="D42" s="12"/>
      <c r="E42" s="10"/>
      <c r="F42" s="10"/>
      <c r="G42" s="10"/>
      <c r="H42" s="10"/>
      <c r="I42" s="10"/>
      <c r="J42" s="11">
        <f>(D42*D$62)+(E42*E$62)+(F42*F$62)+(G42*G$62)+(H42*H$62)+(I42*I$62)</f>
        <v>0</v>
      </c>
      <c r="K42" s="9" t="str">
        <f>IF(D42&gt;=100, 250, IF(D42&gt;=50, 150, IF(D42&gt;=30, 50, "")))</f>
        <v/>
      </c>
      <c r="L42" s="12" t="str">
        <f>IF(E42=5, 200, IF(E42=3, 150, IF(E42=2, 50, "")))</f>
        <v/>
      </c>
      <c r="M42" s="12" t="str">
        <f>IF(H42=3,100,IF(H42=5,200,""))</f>
        <v/>
      </c>
      <c r="N42" s="12"/>
      <c r="O42" s="12"/>
      <c r="P42" s="10"/>
      <c r="Q42" s="10"/>
      <c r="R42" s="13">
        <f>SUM(K42:Q42)</f>
        <v>0</v>
      </c>
      <c r="T42" s="34">
        <f>R42+J42</f>
        <v>0</v>
      </c>
      <c r="V42" s="28"/>
      <c r="W42" s="29"/>
      <c r="X42" s="28"/>
      <c r="Y42" s="28"/>
      <c r="Z42" s="28"/>
      <c r="AA42" s="28"/>
    </row>
    <row r="43" spans="2:32" ht="15" thickBot="1" x14ac:dyDescent="0.35">
      <c r="T43" s="37">
        <f>SUM(T38:T42)</f>
        <v>880</v>
      </c>
      <c r="V43" s="28"/>
      <c r="W43" s="29"/>
      <c r="X43" s="28"/>
      <c r="Y43" s="28"/>
      <c r="Z43" s="28"/>
      <c r="AA43" s="28"/>
    </row>
    <row r="44" spans="2:32" x14ac:dyDescent="0.3">
      <c r="B44" s="66" t="s">
        <v>97</v>
      </c>
      <c r="C44" s="39" t="s">
        <v>229</v>
      </c>
      <c r="D44" s="23">
        <v>18</v>
      </c>
      <c r="E44" s="6"/>
      <c r="F44" s="6"/>
      <c r="G44" s="6"/>
      <c r="H44" s="6"/>
      <c r="I44" s="6"/>
      <c r="J44" s="7">
        <f>(D44*D$62)+(E44*E$62)+(F44*F$62)+(G44*G$62)+(H44*H$62)+(I44*I$62)</f>
        <v>90</v>
      </c>
      <c r="K44" s="5" t="str">
        <f>IF(D44&gt;=100, 250, IF(D44&gt;=50, 150, IF(D44&gt;=30, 50, "")))</f>
        <v/>
      </c>
      <c r="L44" s="23" t="str">
        <f>IF(E44=5, 200, IF(E44=3, 150, IF(E44=2, 50, "")))</f>
        <v/>
      </c>
      <c r="M44" s="23" t="str">
        <f>IF(H44=3,100,IF(H44=5,200,""))</f>
        <v/>
      </c>
      <c r="N44" s="23"/>
      <c r="O44" s="23"/>
      <c r="P44" s="6"/>
      <c r="Q44" s="6"/>
      <c r="R44" s="24">
        <f>SUM(K44:Q44)</f>
        <v>0</v>
      </c>
      <c r="T44" s="33">
        <f>(R44+J44)*2</f>
        <v>180</v>
      </c>
      <c r="V44" s="28"/>
      <c r="W44" s="29"/>
      <c r="X44" s="28"/>
      <c r="Y44" s="28"/>
      <c r="Z44" s="28"/>
      <c r="AA44" s="28"/>
    </row>
    <row r="45" spans="2:32" x14ac:dyDescent="0.3">
      <c r="B45" s="67"/>
      <c r="C45" s="19" t="s">
        <v>60</v>
      </c>
      <c r="D45" s="20">
        <v>8</v>
      </c>
      <c r="E45" s="1"/>
      <c r="F45" s="1"/>
      <c r="G45" s="1"/>
      <c r="H45" s="1"/>
      <c r="I45" s="1"/>
      <c r="J45" s="19">
        <f>(D45*D$62)+(E45*E$62)+(F45*F$62)+(G45*G$62)+(H45*H$62)+(I45*I$62)</f>
        <v>40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40</v>
      </c>
      <c r="V45" s="28"/>
      <c r="W45" s="29"/>
      <c r="X45" s="28"/>
      <c r="Y45" s="28"/>
      <c r="Z45" s="28"/>
      <c r="AA45" s="28"/>
    </row>
    <row r="46" spans="2:32" x14ac:dyDescent="0.3">
      <c r="B46" s="67"/>
      <c r="C46" s="19" t="s">
        <v>135</v>
      </c>
      <c r="D46" s="20"/>
      <c r="E46" s="1"/>
      <c r="F46" s="1"/>
      <c r="G46" s="1"/>
      <c r="H46" s="1">
        <v>1</v>
      </c>
      <c r="I46" s="1"/>
      <c r="J46" s="19">
        <f>(D46*D$62)+(E46*E$62)+(F46*F$62)+(G46*G$62)+(H46*H$62)+(I46*I$62)</f>
        <v>50</v>
      </c>
      <c r="K46" s="43" t="str">
        <f>IF(D46&gt;=100, 250, IF(D46&gt;=50, 150, IF(D46&gt;=30, 50, "")))</f>
        <v/>
      </c>
      <c r="L46" s="20" t="str">
        <f>IF(E46=5, 250, IF(E46=3, 150, IF(E46=2, 50, "")))</f>
        <v/>
      </c>
      <c r="M46" s="20" t="str">
        <f>IF(H46=3,100,IF(H46=5,200,""))</f>
        <v/>
      </c>
      <c r="N46" s="20"/>
      <c r="O46" s="20"/>
      <c r="P46" s="1"/>
      <c r="Q46" s="1"/>
      <c r="R46" s="17">
        <f>SUM(K46:Q46)</f>
        <v>0</v>
      </c>
      <c r="T46" s="14">
        <f>R46+J46</f>
        <v>50</v>
      </c>
      <c r="V46" s="28"/>
      <c r="W46" s="29"/>
      <c r="X46" s="28"/>
      <c r="Y46" s="28"/>
      <c r="Z46" s="28"/>
      <c r="AA46" s="28"/>
    </row>
    <row r="47" spans="2:32" x14ac:dyDescent="0.3">
      <c r="B47" s="67"/>
      <c r="C47" s="19" t="s">
        <v>157</v>
      </c>
      <c r="D47" s="20">
        <v>18</v>
      </c>
      <c r="E47" s="1"/>
      <c r="F47" s="1"/>
      <c r="G47" s="1"/>
      <c r="H47" s="1">
        <v>2</v>
      </c>
      <c r="I47" s="1"/>
      <c r="J47" s="19">
        <f>(D47*D$62)+(E47*E$62)+(F47*F$62)+(G47*G$62)+(H47*H$62)+(I47*I$62)</f>
        <v>190</v>
      </c>
      <c r="K47" s="43" t="str">
        <f>IF(D47&gt;=100, 250, IF(D47&gt;=50, 150, IF(D47&gt;=30, 50, "")))</f>
        <v/>
      </c>
      <c r="L47" s="20" t="str">
        <f>IF(E47=5, 200, IF(E47=3, 150, IF(E47=2, 50, "")))</f>
        <v/>
      </c>
      <c r="M47" s="20" t="str">
        <f>IF(H47=3,100,IF(H47=5,200,""))</f>
        <v/>
      </c>
      <c r="N47" s="20"/>
      <c r="O47" s="20"/>
      <c r="P47" s="1"/>
      <c r="Q47" s="1"/>
      <c r="R47" s="17">
        <f>SUM(K47:Q47)</f>
        <v>0</v>
      </c>
      <c r="T47" s="14">
        <f>R47+J47</f>
        <v>190</v>
      </c>
      <c r="V47" s="28"/>
      <c r="W47" s="29"/>
      <c r="X47" s="28"/>
      <c r="Y47" s="28"/>
      <c r="Z47" s="28"/>
      <c r="AA47" s="28"/>
    </row>
    <row r="48" spans="2:32" ht="15" thickBot="1" x14ac:dyDescent="0.35">
      <c r="B48" s="68"/>
      <c r="C48" s="11" t="s">
        <v>230</v>
      </c>
      <c r="D48" s="12">
        <v>49</v>
      </c>
      <c r="E48" s="10"/>
      <c r="F48" s="10"/>
      <c r="G48" s="10"/>
      <c r="H48" s="10"/>
      <c r="I48" s="10"/>
      <c r="J48" s="11">
        <f>(D48*D$62)+(E48*E$62)+(F48*F$62)+(G48*G$62)+(H48*H$62)+(I48*I$62)</f>
        <v>245</v>
      </c>
      <c r="K48" s="9">
        <f>IF(D48&gt;=100, 250, IF(D48&gt;=50, 150, IF(D48&gt;=30, 50, "")))</f>
        <v>50</v>
      </c>
      <c r="L48" s="12" t="str">
        <f>IF(E48=5, 200, IF(E48=3, 150, IF(E48=2, 50, "")))</f>
        <v/>
      </c>
      <c r="M48" s="12" t="str">
        <f>IF(H48=3,100,IF(H48=5,200,""))</f>
        <v/>
      </c>
      <c r="N48" s="12"/>
      <c r="O48" s="12"/>
      <c r="P48" s="10"/>
      <c r="Q48" s="10"/>
      <c r="R48" s="13">
        <f>SUM(K48:Q48)</f>
        <v>50</v>
      </c>
      <c r="T48" s="34">
        <f>R48+J48</f>
        <v>295</v>
      </c>
      <c r="V48" s="28"/>
      <c r="W48" s="29"/>
      <c r="X48" s="28"/>
      <c r="Y48" s="28"/>
      <c r="Z48" s="28"/>
      <c r="AA48" s="28"/>
    </row>
    <row r="49" spans="2:27" ht="15" thickBot="1" x14ac:dyDescent="0.35">
      <c r="T49" s="37">
        <f>SUM(T44:T48)</f>
        <v>755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231</v>
      </c>
      <c r="D50" s="23">
        <v>5</v>
      </c>
      <c r="E50" s="6"/>
      <c r="F50" s="6"/>
      <c r="G50" s="6"/>
      <c r="H50" s="6">
        <v>2</v>
      </c>
      <c r="I50" s="6"/>
      <c r="J50" s="7">
        <f>(D50*D$62)+(E50*E$62)+(F50*F$62)+(G50*G$62)+(H50*H$62)+(I50*I$62)</f>
        <v>125</v>
      </c>
      <c r="K50" s="5" t="str">
        <f>IF(D50&gt;=100, 250, IF(D50&gt;=50, 150, IF(D50&gt;=30, 50, "")))</f>
        <v/>
      </c>
      <c r="L50" s="23" t="str">
        <f>IF(E50=5, 200, IF(E50=3, 150, IF(E50=2, 50, "")))</f>
        <v/>
      </c>
      <c r="M50" s="23" t="str">
        <f>IF(H50=3,100,IF(H50=5,200,""))</f>
        <v/>
      </c>
      <c r="N50" s="23"/>
      <c r="O50" s="23"/>
      <c r="P50" s="6"/>
      <c r="Q50" s="6"/>
      <c r="R50" s="24">
        <f>SUM(K50:Q50)</f>
        <v>0</v>
      </c>
      <c r="T50" s="33">
        <f>(R50+J50)*2</f>
        <v>250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82</v>
      </c>
      <c r="D51" s="20">
        <v>27</v>
      </c>
      <c r="E51" s="1"/>
      <c r="F51" s="1"/>
      <c r="G51" s="1"/>
      <c r="H51" s="1">
        <v>1</v>
      </c>
      <c r="I51" s="1"/>
      <c r="J51" s="19">
        <f>(D51*D$62)+(E51*E$62)+(F51*F$62)+(G51*G$62)+(H51*H$62)+(I51*I$62)</f>
        <v>185</v>
      </c>
      <c r="K51" s="43" t="str">
        <f>IF(D51&gt;=100, 250, IF(D51&gt;=50, 150, IF(D51&gt;=30, 50, "")))</f>
        <v/>
      </c>
      <c r="L51" s="20" t="str">
        <f t="shared" ref="L51:L53" si="1">IF(E51=5, 200, IF(E51=3, 150, IF(E51=2, 50, "")))</f>
        <v/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0</v>
      </c>
      <c r="T51" s="14">
        <f>R51+J51</f>
        <v>185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48</v>
      </c>
      <c r="D52" s="20">
        <v>22</v>
      </c>
      <c r="E52" s="1">
        <v>1</v>
      </c>
      <c r="F52" s="1"/>
      <c r="G52" s="1"/>
      <c r="H52" s="1"/>
      <c r="I52" s="1"/>
      <c r="J52" s="19">
        <f>(D52*D$62)+(E52*E$62)+(F52*F$62)+(G52*G$62)+(H52*H$62)+(I52*I$62)</f>
        <v>210</v>
      </c>
      <c r="K52" s="43" t="str">
        <f>IF(D52&gt;=100, 250, IF(D52&gt;=50, 150, IF(D52&gt;=30, 50, "")))</f>
        <v/>
      </c>
      <c r="L52" s="20" t="str">
        <f t="shared" si="1"/>
        <v/>
      </c>
      <c r="M52" s="20" t="str">
        <f>IF(H52=3,100,IF(H52=5,200,""))</f>
        <v/>
      </c>
      <c r="N52" s="20"/>
      <c r="O52" s="20"/>
      <c r="P52" s="1"/>
      <c r="Q52" s="1"/>
      <c r="R52" s="17">
        <f>SUM(K52:Q52)</f>
        <v>0</v>
      </c>
      <c r="T52" s="14">
        <f>R52+J52</f>
        <v>210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232</v>
      </c>
      <c r="D53" s="20"/>
      <c r="E53" s="1">
        <v>2</v>
      </c>
      <c r="F53" s="1"/>
      <c r="G53" s="1"/>
      <c r="H53" s="1"/>
      <c r="I53" s="1"/>
      <c r="J53" s="19">
        <f>(D53*D$62)+(E53*E$62)+(F53*F$62)+(G53*G$62)+(H53*H$62)+(I53*I$62)</f>
        <v>200</v>
      </c>
      <c r="K53" s="43" t="str">
        <f>IF(D53&gt;=100, 250, IF(D53&gt;=50, 150, IF(D53&gt;=30, 50, "")))</f>
        <v/>
      </c>
      <c r="L53" s="20">
        <f t="shared" si="1"/>
        <v>50</v>
      </c>
      <c r="M53" s="20" t="str">
        <f>IF(H53=3,100,IF(H53=5,200,""))</f>
        <v/>
      </c>
      <c r="N53" s="20"/>
      <c r="O53" s="20"/>
      <c r="P53" s="1"/>
      <c r="Q53" s="1"/>
      <c r="R53" s="17">
        <f>SUM(K53:Q53)</f>
        <v>50</v>
      </c>
      <c r="T53" s="14">
        <f>R53+J53</f>
        <v>250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208</v>
      </c>
      <c r="D54" s="12"/>
      <c r="E54" s="10"/>
      <c r="F54" s="10"/>
      <c r="G54" s="10"/>
      <c r="H54" s="10"/>
      <c r="I54" s="10"/>
      <c r="J54" s="11">
        <f>(D54*D$62)+(E54*E$62)+(F54*F$62)+(G54*G$62)+(H54*H$62)+(I54*I$62)</f>
        <v>0</v>
      </c>
      <c r="K54" s="9" t="str">
        <f>IF(D54&gt;=100, 250, IF(D54&gt;=50, 150, IF(D54&gt;=30, 50, "")))</f>
        <v/>
      </c>
      <c r="L54" s="12" t="str">
        <f>IF(E54=5, 200, IF(E54=3, 150, IF(E54=2, 50, "")))</f>
        <v/>
      </c>
      <c r="M54" s="12" t="str">
        <f>IF(H54=3,100,IF(H54=5,200,""))</f>
        <v/>
      </c>
      <c r="N54" s="12"/>
      <c r="O54" s="12"/>
      <c r="P54" s="10"/>
      <c r="Q54" s="10"/>
      <c r="R54" s="13">
        <f>SUM(K54:Q54)</f>
        <v>0</v>
      </c>
      <c r="T54" s="34">
        <f>R54+J54</f>
        <v>0</v>
      </c>
      <c r="V54" s="28"/>
      <c r="W54" s="29"/>
      <c r="X54" s="28"/>
      <c r="Y54" s="28"/>
      <c r="Z54" s="28"/>
      <c r="AA54" s="28"/>
    </row>
    <row r="55" spans="2:27" ht="15" thickBot="1" x14ac:dyDescent="0.35">
      <c r="T55" s="37">
        <f>SUM(T50:T54)</f>
        <v>895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2425</v>
      </c>
      <c r="Y63" s="42">
        <f>SUM(Y64:Y71)</f>
        <v>-1850</v>
      </c>
      <c r="Z63" s="42">
        <f>SUM(Z64:Z71)</f>
        <v>-1490</v>
      </c>
      <c r="AA63" s="42">
        <f>SUM(AA64:AA71)</f>
        <v>915</v>
      </c>
    </row>
    <row r="64" spans="2:27" x14ac:dyDescent="0.3">
      <c r="B64" s="66" t="s">
        <v>211</v>
      </c>
      <c r="C64" s="38"/>
      <c r="D64" s="5"/>
      <c r="E64" s="6"/>
      <c r="F64" s="6"/>
      <c r="G64" s="6"/>
      <c r="H64" s="6"/>
      <c r="I64" s="6"/>
      <c r="J64" s="7">
        <f>(D64*D$62)+(E64*E$62)+(F64*F$62)+(G64*G$62)+(H64*H$62)+(I64*I$62)</f>
        <v>0</v>
      </c>
      <c r="K64" s="15" t="str">
        <f>IF(D64&gt;=100, 250, IF(D64&gt;=50, 150, IF(D64&gt;=30, 50, "")))</f>
        <v/>
      </c>
      <c r="L64" s="15" t="str">
        <f>IF(E64=5, 200, IF(E64=3, 150, IF(E64=2, 50, "")))</f>
        <v/>
      </c>
      <c r="M64" s="15" t="str">
        <f>IF(H64=3,100,IF(H64=5,200,""))</f>
        <v/>
      </c>
      <c r="N64" s="15"/>
      <c r="O64" s="15"/>
      <c r="P64" s="16"/>
      <c r="Q64" s="16"/>
      <c r="R64" s="17">
        <f>SUM(K64:Q64)</f>
        <v>0</v>
      </c>
      <c r="T64" s="14">
        <f>(R64+J64)*2</f>
        <v>0</v>
      </c>
      <c r="V64" s="28">
        <v>1</v>
      </c>
      <c r="W64" s="29">
        <v>45752</v>
      </c>
      <c r="X64" s="28">
        <v>3045</v>
      </c>
      <c r="Y64" s="28">
        <v>-1065</v>
      </c>
      <c r="Z64" s="28">
        <v>-1060</v>
      </c>
      <c r="AA64" s="28">
        <v>-920</v>
      </c>
    </row>
    <row r="65" spans="2:27" x14ac:dyDescent="0.3">
      <c r="B65" s="67"/>
      <c r="C65" s="4"/>
      <c r="D65" s="18"/>
      <c r="E65" s="1"/>
      <c r="F65" s="1"/>
      <c r="G65" s="1"/>
      <c r="H65" s="1"/>
      <c r="I65" s="1"/>
      <c r="J65" s="19">
        <f>(D65*D$62)+(E65*E$62)+(F65*F$62)+(G65*G$62)+(H65*H$62)+(I65*I$62)</f>
        <v>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0</v>
      </c>
      <c r="V65" s="28">
        <v>2</v>
      </c>
      <c r="W65" s="29">
        <v>45752</v>
      </c>
      <c r="X65" s="45">
        <v>-620</v>
      </c>
      <c r="Y65" s="45">
        <v>-785</v>
      </c>
      <c r="Z65" s="45">
        <v>-430</v>
      </c>
      <c r="AA65" s="45">
        <v>1835</v>
      </c>
    </row>
    <row r="66" spans="2:27" x14ac:dyDescent="0.3">
      <c r="B66" s="67"/>
      <c r="C66" s="4"/>
      <c r="D66" s="18"/>
      <c r="E66" s="1"/>
      <c r="F66" s="1"/>
      <c r="G66" s="1"/>
      <c r="H66" s="1"/>
      <c r="I66" s="1"/>
      <c r="J66" s="19">
        <f>(D66*D$62)+(E66*E$62)+(F66*F$62)+(G66*G$62)+(H66*H$62)+(I66*I$62)</f>
        <v>0</v>
      </c>
      <c r="K66" s="15" t="str">
        <f>IF(D66&gt;=100, 250, IF(D66&gt;=50, 150, IF(D66&gt;=30, 50, "")))</f>
        <v/>
      </c>
      <c r="L66" s="20" t="str">
        <f>IF(E66=5, 200, IF(E66=3, 150, IF(E66=2, 50, "")))</f>
        <v/>
      </c>
      <c r="M66" s="20" t="str">
        <f>IF(H66=3,100,IF(H66=5,200,""))</f>
        <v/>
      </c>
      <c r="N66" s="20"/>
      <c r="O66" s="20"/>
      <c r="P66" s="1"/>
      <c r="Q66" s="1"/>
      <c r="R66" s="17">
        <f>SUM(K66:Q66)</f>
        <v>0</v>
      </c>
      <c r="T66" s="14">
        <f>R66+J66</f>
        <v>0</v>
      </c>
      <c r="V66" s="28">
        <v>3</v>
      </c>
      <c r="W66" s="44"/>
      <c r="X66" s="45"/>
      <c r="Y66" s="45"/>
      <c r="Z66" s="45"/>
      <c r="AA66" s="45"/>
    </row>
    <row r="67" spans="2:27" x14ac:dyDescent="0.3">
      <c r="B67" s="67"/>
      <c r="C67" s="4"/>
      <c r="D67" s="18"/>
      <c r="E67" s="1"/>
      <c r="F67" s="1"/>
      <c r="G67" s="1"/>
      <c r="H67" s="1"/>
      <c r="I67" s="1"/>
      <c r="J67" s="19">
        <f>(D67*D$62)+(E67*E$62)+(F67*F$62)+(G67*G$62)+(H67*H$62)+(I67*I$62)</f>
        <v>0</v>
      </c>
      <c r="K67" s="15" t="str">
        <f>IF(D67&gt;=100, 250, IF(D67&gt;=50, 150, IF(D67&gt;=30, 50, "")))</f>
        <v/>
      </c>
      <c r="L67" s="20" t="str">
        <f>IF(E67=5, 200, IF(E67=3, 150, IF(E67=2, 50, "")))</f>
        <v/>
      </c>
      <c r="M67" s="20" t="str">
        <f>IF(H67=3,100,IF(H67=5,200,""))</f>
        <v/>
      </c>
      <c r="N67" s="20"/>
      <c r="O67" s="20"/>
      <c r="P67" s="1"/>
      <c r="Q67" s="1"/>
      <c r="R67" s="17">
        <f>SUM(K67:Q67)</f>
        <v>0</v>
      </c>
      <c r="T67" s="14">
        <f>R67+J67</f>
        <v>0</v>
      </c>
      <c r="V67" s="28">
        <v>4</v>
      </c>
      <c r="W67" s="29"/>
      <c r="X67" s="28"/>
      <c r="Y67" s="28"/>
      <c r="Z67" s="28"/>
      <c r="AA67" s="28"/>
    </row>
    <row r="68" spans="2:27" ht="15" thickBot="1" x14ac:dyDescent="0.35">
      <c r="B68" s="68"/>
      <c r="C68" s="21"/>
      <c r="D68" s="9"/>
      <c r="E68" s="10"/>
      <c r="F68" s="10"/>
      <c r="G68" s="10"/>
      <c r="H68" s="10"/>
      <c r="I68" s="10"/>
      <c r="J68" s="11">
        <f>(D68*D$62)+(E68*E$62)+(F68*F$62)+(G68*G$62)+(H68*H$62)+(I68*I$62)</f>
        <v>0</v>
      </c>
      <c r="K68" s="12" t="str">
        <f>IF(D68&gt;=100, 250, IF(D68&gt;=50, 150, IF(D68&gt;=30, 50, "")))</f>
        <v/>
      </c>
      <c r="L68" s="12" t="str">
        <f>IF(E68=5, 200, IF(E68=3, 150, IF(E68=2, 50, "")))</f>
        <v/>
      </c>
      <c r="M68" s="12" t="str">
        <f>IF(H68=3,100,IF(H68=5,200,""))</f>
        <v/>
      </c>
      <c r="N68" s="12"/>
      <c r="O68" s="12"/>
      <c r="P68" s="10"/>
      <c r="Q68" s="10"/>
      <c r="R68" s="13">
        <f>SUM(K68:Q68)</f>
        <v>0</v>
      </c>
      <c r="T68" s="22">
        <f>(R68+J68)</f>
        <v>0</v>
      </c>
      <c r="V68" s="28">
        <v>5</v>
      </c>
      <c r="W68" s="29"/>
      <c r="X68" s="28"/>
      <c r="Y68" s="28"/>
      <c r="Z68" s="28"/>
      <c r="AA68" s="28"/>
    </row>
    <row r="69" spans="2:27" ht="15" thickBot="1" x14ac:dyDescent="0.35">
      <c r="T69" s="37">
        <f>SUM(T64:T68)</f>
        <v>0</v>
      </c>
      <c r="V69" s="28">
        <v>6</v>
      </c>
      <c r="W69" s="29"/>
      <c r="X69" s="28"/>
      <c r="Y69" s="28"/>
      <c r="Z69" s="28"/>
      <c r="AA69" s="28"/>
    </row>
    <row r="70" spans="2:27" x14ac:dyDescent="0.3">
      <c r="B70" s="66" t="s">
        <v>96</v>
      </c>
      <c r="C70" s="39"/>
      <c r="D70" s="23"/>
      <c r="E70" s="6"/>
      <c r="F70" s="6"/>
      <c r="G70" s="6"/>
      <c r="H70" s="6"/>
      <c r="I70" s="6"/>
      <c r="J70" s="7">
        <f>(D70*D$62)+(E70*E$62)+(F70*F$62)+(G70*G$62)+(H70*H$62)+(I70*I$62)</f>
        <v>0</v>
      </c>
      <c r="K70" s="5" t="str">
        <f>IF(D70&gt;=100, 250, IF(D70&gt;=50, 150, IF(D70&gt;=30, 50, "")))</f>
        <v/>
      </c>
      <c r="L70" s="23" t="str">
        <f>IF(E70=5, 200, IF(E70=3, 150, IF(E70=2, 50, "")))</f>
        <v/>
      </c>
      <c r="M70" s="23" t="str">
        <f>IF(H70=3,100,IF(H70=5,200,""))</f>
        <v/>
      </c>
      <c r="N70" s="23"/>
      <c r="O70" s="23"/>
      <c r="P70" s="6"/>
      <c r="Q70" s="6"/>
      <c r="R70" s="24">
        <f>SUM(K70:Q70)</f>
        <v>0</v>
      </c>
      <c r="T70" s="33">
        <f>(R70+J70)*2</f>
        <v>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/>
      <c r="D71" s="20"/>
      <c r="E71" s="1"/>
      <c r="F71" s="1"/>
      <c r="G71" s="1"/>
      <c r="H71" s="1"/>
      <c r="I71" s="1"/>
      <c r="J71" s="19">
        <f>(D71*D$62)+(E71*E$62)+(F71*F$62)+(G71*G$62)+(H71*H$62)+(I71*I$62)</f>
        <v>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/>
      <c r="D72" s="20"/>
      <c r="E72" s="1"/>
      <c r="F72" s="1"/>
      <c r="G72" s="1"/>
      <c r="H72" s="1"/>
      <c r="I72" s="1"/>
      <c r="J72" s="19">
        <f>(D72*D$62)+(E72*E$62)+(F72*F$62)+(G72*G$62)+(H72*H$62)+(I72*I$62)</f>
        <v>0</v>
      </c>
      <c r="K72" s="43" t="str">
        <f>IF(D72&gt;=100, 250, IF(D72&gt;=50, 150, IF(D72&gt;=30, 50, "")))</f>
        <v/>
      </c>
      <c r="L72" s="20" t="str">
        <f>IF(E72=5, 200, IF(E72=3, 150, IF(E72=2, 50, "")))</f>
        <v/>
      </c>
      <c r="M72" s="20" t="str">
        <f>IF(H72=3,100,IF(H72=5,200,""))</f>
        <v/>
      </c>
      <c r="N72" s="20"/>
      <c r="O72" s="20"/>
      <c r="P72" s="1"/>
      <c r="Q72" s="1"/>
      <c r="R72" s="17">
        <f>SUM(K72:Q72)</f>
        <v>0</v>
      </c>
      <c r="T72" s="14">
        <f>R72+J72</f>
        <v>0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/>
      <c r="D73" s="20"/>
      <c r="E73" s="1"/>
      <c r="F73" s="1"/>
      <c r="G73" s="1"/>
      <c r="H73" s="1"/>
      <c r="I73" s="1"/>
      <c r="J73" s="19">
        <f>(D73*D$62)+(E73*E$62)+(F73*F$62)+(G73*G$62)+(H73*H$62)+(I73*I$62)</f>
        <v>0</v>
      </c>
      <c r="K73" s="43" t="str">
        <f>IF(D73&gt;=100, 250, IF(D73&gt;=50, 150, IF(D73&gt;=30, 50, "")))</f>
        <v/>
      </c>
      <c r="L73" s="20" t="str">
        <f>IF(E73=5, 200, IF(E73=3, 150, IF(E73=2, 50, "")))</f>
        <v/>
      </c>
      <c r="M73" s="20" t="str">
        <f>IF(H73=3,100,IF(H73=5,200,""))</f>
        <v/>
      </c>
      <c r="N73" s="20"/>
      <c r="O73" s="20"/>
      <c r="P73" s="1"/>
      <c r="Q73" s="1"/>
      <c r="R73" s="17">
        <f>SUM(K73:Q73)</f>
        <v>0</v>
      </c>
      <c r="T73" s="14">
        <f>R73+J73</f>
        <v>0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/>
      <c r="D74" s="12"/>
      <c r="E74" s="10"/>
      <c r="F74" s="10"/>
      <c r="G74" s="10"/>
      <c r="H74" s="10"/>
      <c r="I74" s="10"/>
      <c r="J74" s="11">
        <f>(D74*D$62)+(E74*E$62)+(F74*F$62)+(G74*G$62)+(H74*H$62)+(I74*I$62)</f>
        <v>0</v>
      </c>
      <c r="K74" s="9" t="str">
        <f>IF(D74&gt;=100, 250, IF(D74&gt;=50, 150, IF(D74&gt;=30, 50, "")))</f>
        <v/>
      </c>
      <c r="L74" s="12" t="str">
        <f>IF(E74=5, 200, IF(E74=3, 150, IF(E74=2, 50, "")))</f>
        <v/>
      </c>
      <c r="M74" s="12" t="str">
        <f>IF(H74=3,100,IF(H74=5,200,""))</f>
        <v/>
      </c>
      <c r="N74" s="12"/>
      <c r="O74" s="12"/>
      <c r="P74" s="10"/>
      <c r="Q74" s="10"/>
      <c r="R74" s="13">
        <f>SUM(K74:Q74)</f>
        <v>0</v>
      </c>
      <c r="T74" s="34">
        <f>R74+J74</f>
        <v>0</v>
      </c>
      <c r="V74" s="28"/>
      <c r="W74" s="29"/>
      <c r="X74" s="28"/>
      <c r="Y74" s="28"/>
      <c r="Z74" s="28"/>
      <c r="AA74" s="28"/>
    </row>
    <row r="75" spans="2:27" ht="15" thickBot="1" x14ac:dyDescent="0.35">
      <c r="T75" s="37">
        <f>SUM(T70:T74)</f>
        <v>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/>
      <c r="D76" s="23"/>
      <c r="E76" s="6"/>
      <c r="F76" s="6"/>
      <c r="G76" s="6"/>
      <c r="H76" s="6"/>
      <c r="I76" s="6"/>
      <c r="J76" s="7">
        <f>(D76*D$62)+(E76*E$62)+(F76*F$62)+(G76*G$62)+(H76*H$62)+(I76*I$62)</f>
        <v>0</v>
      </c>
      <c r="K76" s="5" t="str">
        <f>IF(D76&gt;=100, 250, IF(D76&gt;=50, 150, IF(D76&gt;=30, 50, "")))</f>
        <v/>
      </c>
      <c r="L76" s="23" t="str">
        <f>IF(E76=5, 200, IF(E76=3, 150, IF(E76=2, 50, "")))</f>
        <v/>
      </c>
      <c r="M76" s="23" t="str">
        <f>IF(H76=3,100,IF(H76=5,200,""))</f>
        <v/>
      </c>
      <c r="N76" s="23"/>
      <c r="O76" s="23"/>
      <c r="P76" s="6"/>
      <c r="Q76" s="6"/>
      <c r="R76" s="24">
        <f>SUM(K76:Q76)</f>
        <v>0</v>
      </c>
      <c r="T76" s="33">
        <f>(R76+J76)*2</f>
        <v>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/>
      <c r="D77" s="20"/>
      <c r="E77" s="1"/>
      <c r="F77" s="1"/>
      <c r="G77" s="1"/>
      <c r="H77" s="1"/>
      <c r="I77" s="1"/>
      <c r="J77" s="19">
        <f>(D77*D$62)+(E77*E$62)+(F77*F$62)+(G77*G$62)+(H77*H$62)+(I77*I$62)</f>
        <v>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/>
      <c r="D78" s="20"/>
      <c r="E78" s="1"/>
      <c r="F78" s="1"/>
      <c r="G78" s="1"/>
      <c r="H78" s="1"/>
      <c r="I78" s="1"/>
      <c r="J78" s="19">
        <f>(D78*D$62)+(E78*E$62)+(F78*F$62)+(G78*G$62)+(H78*H$62)+(I78*I$62)</f>
        <v>0</v>
      </c>
      <c r="K78" s="43" t="str">
        <f>IF(D78&gt;=100, 250, IF(D78&gt;=50, 150, IF(D78&gt;=30, 50, "")))</f>
        <v/>
      </c>
      <c r="L78" s="20" t="str">
        <f>IF(E78=5, 200, IF(E78=3, 150, IF(E78=2, 50, "")))</f>
        <v/>
      </c>
      <c r="M78" s="20" t="str">
        <f>IF(H78=3,100,IF(H78=5,200,""))</f>
        <v/>
      </c>
      <c r="N78" s="20"/>
      <c r="O78" s="20"/>
      <c r="P78" s="1"/>
      <c r="Q78" s="1"/>
      <c r="R78" s="17">
        <f>SUM(K78:Q78)</f>
        <v>0</v>
      </c>
      <c r="T78" s="14">
        <f>R78+J78</f>
        <v>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/>
      <c r="D79" s="20"/>
      <c r="E79" s="1"/>
      <c r="F79" s="1"/>
      <c r="G79" s="1"/>
      <c r="H79" s="1"/>
      <c r="I79" s="1"/>
      <c r="J79" s="19">
        <f>(D79*D$62)+(E79*E$62)+(F79*F$62)+(G79*G$62)+(H79*H$62)+(I79*I$62)</f>
        <v>0</v>
      </c>
      <c r="K79" s="43" t="str">
        <f>IF(D79&gt;=100, 250, IF(D79&gt;=50, 150, IF(D79&gt;=30, 50, "")))</f>
        <v/>
      </c>
      <c r="L79" s="20" t="str">
        <f>IF(E79=5, 200, IF(E79=3, 150, IF(E79=2, 50, "")))</f>
        <v/>
      </c>
      <c r="M79" s="20" t="str">
        <f>IF(H79=3,100,IF(H79=5,200,""))</f>
        <v/>
      </c>
      <c r="N79" s="20"/>
      <c r="O79" s="20"/>
      <c r="P79" s="1"/>
      <c r="Q79" s="1"/>
      <c r="R79" s="17">
        <f>SUM(K79:Q79)</f>
        <v>0</v>
      </c>
      <c r="T79" s="14">
        <f>R79+J79</f>
        <v>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/>
      <c r="D80" s="12"/>
      <c r="E80" s="10"/>
      <c r="F80" s="10"/>
      <c r="G80" s="10"/>
      <c r="H80" s="10"/>
      <c r="I80" s="10"/>
      <c r="J80" s="11">
        <f>(D80*D$62)+(E80*E$62)+(F80*F$62)+(G80*G$62)+(H80*H$62)+(I80*I$62)</f>
        <v>0</v>
      </c>
      <c r="K80" s="9" t="str">
        <f>IF(D80&gt;=100, 250, IF(D80&gt;=50, 150, IF(D80&gt;=30, 50, "")))</f>
        <v/>
      </c>
      <c r="L80" s="12" t="str">
        <f>IF(E80=5, 200, IF(E80=3, 150, IF(E80=2, 50, "")))</f>
        <v/>
      </c>
      <c r="M80" s="12" t="str">
        <f>IF(H80=3,100,IF(H80=5,200,""))</f>
        <v/>
      </c>
      <c r="N80" s="12"/>
      <c r="O80" s="12"/>
      <c r="P80" s="10"/>
      <c r="Q80" s="10"/>
      <c r="R80" s="13">
        <f>SUM(K80:Q80)</f>
        <v>0</v>
      </c>
      <c r="T80" s="34">
        <f>R80+J80</f>
        <v>0</v>
      </c>
      <c r="V80" s="28"/>
      <c r="W80" s="29"/>
      <c r="X80" s="28"/>
      <c r="Y80" s="28"/>
      <c r="Z80" s="28"/>
      <c r="AA80" s="28"/>
    </row>
    <row r="81" spans="2:27" ht="15" thickBot="1" x14ac:dyDescent="0.35">
      <c r="T81" s="37">
        <f>SUM(T76:T80)</f>
        <v>0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/>
      <c r="D82" s="23"/>
      <c r="E82" s="6"/>
      <c r="F82" s="6"/>
      <c r="G82" s="6"/>
      <c r="H82" s="6"/>
      <c r="I82" s="6"/>
      <c r="J82" s="7">
        <f>(D82*D$62)+(E82*E$62)+(F82*F$62)+(G82*G$62)+(H82*H$62)+(I82*I$62)</f>
        <v>0</v>
      </c>
      <c r="K82" s="5" t="str">
        <f>IF(D82&gt;=100, 250, IF(D82&gt;=50, 150, IF(D82&gt;=30, 50, "")))</f>
        <v/>
      </c>
      <c r="L82" s="23" t="str">
        <f>IF(E82=5, 200, IF(E82=3, 150, IF(E82=2, 50, "")))</f>
        <v/>
      </c>
      <c r="M82" s="23" t="str">
        <f>IF(H82=3,100,IF(H82=5,200,""))</f>
        <v/>
      </c>
      <c r="N82" s="23"/>
      <c r="O82" s="23"/>
      <c r="P82" s="6"/>
      <c r="Q82" s="6"/>
      <c r="R82" s="24">
        <f>SUM(K82:Q82)</f>
        <v>0</v>
      </c>
      <c r="T82" s="33">
        <f>(R82+J82)*2</f>
        <v>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/>
      <c r="D83" s="20"/>
      <c r="E83" s="1"/>
      <c r="F83" s="1"/>
      <c r="G83" s="1"/>
      <c r="H83" s="1"/>
      <c r="I83" s="1"/>
      <c r="J83" s="19">
        <f>(D83*D$62)+(E83*E$62)+(F83*F$62)+(G83*G$62)+(H83*H$62)+(I83*I$62)</f>
        <v>0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0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/>
      <c r="D84" s="20"/>
      <c r="E84" s="1"/>
      <c r="F84" s="1"/>
      <c r="G84" s="1"/>
      <c r="H84" s="1"/>
      <c r="I84" s="1"/>
      <c r="J84" s="19">
        <f>(D84*D$62)+(E84*E$62)+(F84*F$62)+(G84*G$62)+(H84*H$62)+(I84*I$62)</f>
        <v>0</v>
      </c>
      <c r="K84" s="43" t="str">
        <f>IF(D84&gt;=100, 250, IF(D84&gt;=50, 150, IF(D84&gt;=30, 50, "")))</f>
        <v/>
      </c>
      <c r="L84" s="20" t="str">
        <f>IF(E84=5, 200, IF(E84=3, 150, IF(E84=2, 50, "")))</f>
        <v/>
      </c>
      <c r="M84" s="20" t="str">
        <f>IF(H84=3,100,IF(H84=5,200,""))</f>
        <v/>
      </c>
      <c r="N84" s="20"/>
      <c r="O84" s="20"/>
      <c r="P84" s="1"/>
      <c r="Q84" s="1"/>
      <c r="R84" s="17">
        <f>SUM(K84:Q84)</f>
        <v>0</v>
      </c>
      <c r="T84" s="14">
        <f>R84+J84</f>
        <v>0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/>
      <c r="D85" s="20"/>
      <c r="E85" s="1"/>
      <c r="F85" s="1"/>
      <c r="G85" s="1"/>
      <c r="H85" s="1"/>
      <c r="I85" s="1"/>
      <c r="J85" s="19">
        <f>(D85*D$62)+(E85*E$62)+(F85*F$62)+(G85*G$62)+(H85*H$62)+(I85*I$62)</f>
        <v>0</v>
      </c>
      <c r="K85" s="43" t="str">
        <f>IF(D85&gt;=100, 250, IF(D85&gt;=50, 150, IF(D85&gt;=30, 50, "")))</f>
        <v/>
      </c>
      <c r="L85" s="20" t="str">
        <f>IF(E85=5, 200, IF(E85=3, 150, IF(E85=2, 50, "")))</f>
        <v/>
      </c>
      <c r="M85" s="20" t="str">
        <f>IF(H85=3,100,IF(H85=5,200,""))</f>
        <v/>
      </c>
      <c r="N85" s="20"/>
      <c r="O85" s="20"/>
      <c r="P85" s="1"/>
      <c r="Q85" s="1"/>
      <c r="R85" s="17">
        <f>SUM(K85:Q85)</f>
        <v>0</v>
      </c>
      <c r="T85" s="14">
        <f>R85+J85</f>
        <v>0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/>
      <c r="D86" s="12"/>
      <c r="E86" s="10"/>
      <c r="F86" s="10"/>
      <c r="G86" s="10"/>
      <c r="H86" s="10"/>
      <c r="I86" s="10"/>
      <c r="J86" s="11">
        <f>(D86*D$62)+(E86*E$62)+(F86*F$62)+(G86*G$62)+(H86*H$62)+(I86*I$62)</f>
        <v>0</v>
      </c>
      <c r="K86" s="9" t="str">
        <f>IF(D86&gt;=100, 250, IF(D86&gt;=50, 150, IF(D86&gt;=30, 50, "")))</f>
        <v/>
      </c>
      <c r="L86" s="12" t="str">
        <f>IF(E86=5, 200, IF(E86=3, 150, IF(E86=2, 50, "")))</f>
        <v/>
      </c>
      <c r="M86" s="12" t="str">
        <f>IF(H86=3,100,IF(H86=5,200,""))</f>
        <v/>
      </c>
      <c r="N86" s="12"/>
      <c r="O86" s="12"/>
      <c r="P86" s="10"/>
      <c r="Q86" s="10"/>
      <c r="R86" s="13">
        <f>SUM(K86:Q86)</f>
        <v>0</v>
      </c>
      <c r="T86" s="34">
        <f>R86+J86</f>
        <v>0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0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AK87"/>
  <sheetViews>
    <sheetView zoomScale="90" zoomScaleNormal="90" workbookViewId="0">
      <selection activeCell="A49" sqref="A49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7.6640625" style="3" bestFit="1" customWidth="1"/>
    <col min="25" max="26" width="8.6640625" style="3" bestFit="1" customWidth="1"/>
    <col min="27" max="27" width="7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F3" s="47"/>
      <c r="AG3" s="47" t="s">
        <v>211</v>
      </c>
      <c r="AH3" s="48" t="s">
        <v>96</v>
      </c>
      <c r="AI3" s="48" t="s">
        <v>97</v>
      </c>
      <c r="AJ3" s="48" t="s">
        <v>98</v>
      </c>
      <c r="AK3" s="46"/>
    </row>
    <row r="4" spans="2:37" x14ac:dyDescent="0.3">
      <c r="AE4" s="46"/>
      <c r="AF4" s="49" t="s">
        <v>165</v>
      </c>
      <c r="AG4" s="49">
        <v>-4745</v>
      </c>
      <c r="AH4" s="49">
        <v>2405</v>
      </c>
      <c r="AI4" s="49">
        <v>10275</v>
      </c>
      <c r="AJ4" s="49">
        <v>-7935</v>
      </c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F5" s="49" t="s">
        <v>210</v>
      </c>
      <c r="AG5" s="49">
        <v>-5315</v>
      </c>
      <c r="AH5" s="49">
        <v>-3535</v>
      </c>
      <c r="AI5" s="49">
        <v>5950</v>
      </c>
      <c r="AJ5" s="49">
        <v>2900</v>
      </c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F6" s="49" t="s">
        <v>236</v>
      </c>
      <c r="AG6" s="49">
        <f>X31</f>
        <v>4815</v>
      </c>
      <c r="AH6" s="49">
        <f>Y31</f>
        <v>-2830</v>
      </c>
      <c r="AI6" s="49">
        <f>Z31</f>
        <v>-1935</v>
      </c>
      <c r="AJ6" s="49">
        <f>AA31</f>
        <v>-50</v>
      </c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F7" s="46"/>
      <c r="AG7" s="46"/>
      <c r="AH7" s="46"/>
      <c r="AI7" s="46"/>
      <c r="AJ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F8" s="46"/>
      <c r="AG8" s="46"/>
      <c r="AH8" s="46"/>
      <c r="AI8" s="46"/>
      <c r="AJ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6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36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36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  <c r="AF30" s="49" t="s">
        <v>0</v>
      </c>
      <c r="AG30" s="49">
        <f>SUM(AG4:AG29)</f>
        <v>-5245</v>
      </c>
      <c r="AH30" s="49">
        <f t="shared" ref="AH30:AJ30" si="0">SUM(AH4:AH29)</f>
        <v>-3960</v>
      </c>
      <c r="AI30" s="49">
        <f t="shared" si="0"/>
        <v>14290</v>
      </c>
      <c r="AJ30" s="49">
        <f t="shared" si="0"/>
        <v>-5085</v>
      </c>
    </row>
    <row r="31" spans="2:36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4815</v>
      </c>
      <c r="Y31" s="42">
        <f>SUM(Y32:Y39)</f>
        <v>-2830</v>
      </c>
      <c r="Z31" s="42">
        <f>SUM(Z32:Z39)</f>
        <v>-1935</v>
      </c>
      <c r="AA31" s="42">
        <f>SUM(AA32:AA39)</f>
        <v>-50</v>
      </c>
    </row>
    <row r="32" spans="2:36" x14ac:dyDescent="0.3">
      <c r="B32" s="66" t="s">
        <v>211</v>
      </c>
      <c r="C32" s="38" t="s">
        <v>19</v>
      </c>
      <c r="D32" s="5">
        <v>67</v>
      </c>
      <c r="E32" s="6"/>
      <c r="F32" s="6"/>
      <c r="G32" s="6"/>
      <c r="H32" s="6">
        <v>1</v>
      </c>
      <c r="I32" s="6"/>
      <c r="J32" s="7">
        <f>(D32*D$62)+(E32*E$62)+(F32*F$62)+(G32*G$62)+(H32*H$62)+(I32*I$62)</f>
        <v>385</v>
      </c>
      <c r="K32" s="15">
        <f>IF(D32&gt;=100, 250, IF(D32&gt;=50, 150, IF(D32&gt;=30, 50, "")))</f>
        <v>150</v>
      </c>
      <c r="L32" s="15" t="str">
        <f>IF(E32=5, 200, IF(E32=3, 150, IF(E32=2, 50, "")))</f>
        <v/>
      </c>
      <c r="M32" s="15" t="str">
        <f>IF(H32=3,100,IF(H32=5,200,""))</f>
        <v/>
      </c>
      <c r="N32" s="15"/>
      <c r="O32" s="15"/>
      <c r="P32" s="16"/>
      <c r="Q32" s="16"/>
      <c r="R32" s="17">
        <f>SUM(K32:Q32)</f>
        <v>150</v>
      </c>
      <c r="T32" s="14">
        <f>(R32+J32)*2</f>
        <v>1070</v>
      </c>
      <c r="V32" s="28">
        <v>1</v>
      </c>
      <c r="W32" s="29">
        <v>45752</v>
      </c>
      <c r="X32" s="28">
        <v>3045</v>
      </c>
      <c r="Y32" s="28">
        <v>-1065</v>
      </c>
      <c r="Z32" s="28">
        <v>-1060</v>
      </c>
      <c r="AA32" s="28">
        <v>-920</v>
      </c>
    </row>
    <row r="33" spans="2:32" x14ac:dyDescent="0.3">
      <c r="B33" s="67"/>
      <c r="C33" s="4" t="s">
        <v>237</v>
      </c>
      <c r="D33" s="18">
        <v>22</v>
      </c>
      <c r="E33" s="1"/>
      <c r="F33" s="1"/>
      <c r="G33" s="1"/>
      <c r="H33" s="1">
        <v>1</v>
      </c>
      <c r="I33" s="1"/>
      <c r="J33" s="19">
        <f>(D33*D$62)+(E33*E$62)+(F33*F$62)+(G33*G$62)+(H33*H$62)+(I33*I$62)</f>
        <v>160</v>
      </c>
      <c r="K33" s="15" t="str">
        <f>IF(D33&gt;=100, 250, IF(D33&gt;=50, 150, IF(D33&gt;=30, 50, "")))</f>
        <v/>
      </c>
      <c r="L33" s="20" t="str">
        <f>IF(E33=5, 200, IF(E33=3, 150, IF(E33=2, 50, "")))</f>
        <v/>
      </c>
      <c r="M33" s="20" t="str">
        <f>IF(H33=3,100,IF(H33=5,200,""))</f>
        <v/>
      </c>
      <c r="N33" s="20"/>
      <c r="O33" s="20"/>
      <c r="P33" s="1"/>
      <c r="Q33" s="1"/>
      <c r="R33" s="17">
        <f>SUM(K33:Q33)</f>
        <v>0</v>
      </c>
      <c r="T33" s="14">
        <f>R33+J33</f>
        <v>160</v>
      </c>
      <c r="V33" s="28">
        <v>2</v>
      </c>
      <c r="W33" s="29">
        <v>45752</v>
      </c>
      <c r="X33" s="45">
        <v>-620</v>
      </c>
      <c r="Y33" s="45">
        <v>-785</v>
      </c>
      <c r="Z33" s="45">
        <v>-430</v>
      </c>
      <c r="AA33" s="45">
        <v>1835</v>
      </c>
    </row>
    <row r="34" spans="2:32" x14ac:dyDescent="0.3">
      <c r="B34" s="67"/>
      <c r="C34" s="4" t="s">
        <v>40</v>
      </c>
      <c r="D34" s="18">
        <v>0</v>
      </c>
      <c r="E34" s="1"/>
      <c r="F34" s="1"/>
      <c r="G34" s="1"/>
      <c r="H34" s="1">
        <v>2</v>
      </c>
      <c r="I34" s="1">
        <v>1</v>
      </c>
      <c r="J34" s="19">
        <f>(D34*D$62)+(E34*E$62)+(F34*F$62)+(G34*G$62)+(H34*H$62)+(I34*I$62)</f>
        <v>50</v>
      </c>
      <c r="K34" s="15" t="str">
        <f>IF(D34&gt;=100, 250, IF(D34&gt;=50, 150, IF(D34&gt;=30, 50, "")))</f>
        <v/>
      </c>
      <c r="L34" s="20" t="str">
        <f>IF(E34=5, 200, IF(E34=3, 150, IF(E34=2, 50, "")))</f>
        <v/>
      </c>
      <c r="M34" s="20" t="str">
        <f>IF(H34=3,100,IF(H34=5,200,""))</f>
        <v/>
      </c>
      <c r="N34" s="20"/>
      <c r="O34" s="20"/>
      <c r="P34" s="1"/>
      <c r="Q34" s="1"/>
      <c r="R34" s="17">
        <f>SUM(K34:Q34)</f>
        <v>0</v>
      </c>
      <c r="T34" s="14">
        <f>R34+J34</f>
        <v>50</v>
      </c>
      <c r="V34" s="28">
        <v>3</v>
      </c>
      <c r="W34" s="44">
        <v>45753</v>
      </c>
      <c r="X34" s="28">
        <v>2060</v>
      </c>
      <c r="Y34" s="28">
        <v>-650</v>
      </c>
      <c r="Z34" s="28">
        <v>-775</v>
      </c>
      <c r="AA34" s="28">
        <v>-635</v>
      </c>
    </row>
    <row r="35" spans="2:32" x14ac:dyDescent="0.3">
      <c r="B35" s="67"/>
      <c r="C35" s="4" t="s">
        <v>23</v>
      </c>
      <c r="D35" s="18">
        <v>0</v>
      </c>
      <c r="E35" s="1"/>
      <c r="F35" s="1"/>
      <c r="G35" s="1"/>
      <c r="H35" s="1"/>
      <c r="I35" s="1">
        <v>1</v>
      </c>
      <c r="J35" s="19">
        <f>(D35*D$62)+(E35*E$62)+(F35*F$62)+(G35*G$62)+(H35*H$62)+(I35*I$62)</f>
        <v>-50</v>
      </c>
      <c r="K35" s="15" t="str">
        <f>IF(D35&gt;=100, 250, IF(D35&gt;=50, 150, IF(D35&gt;=30, 50, "")))</f>
        <v/>
      </c>
      <c r="L35" s="20" t="str">
        <f>IF(E35=5, 200, IF(E35=3, 150, IF(E35=2, 50, "")))</f>
        <v/>
      </c>
      <c r="M35" s="20" t="str">
        <f>IF(H35=3,100,IF(H35=5,200,""))</f>
        <v/>
      </c>
      <c r="N35" s="20"/>
      <c r="O35" s="20"/>
      <c r="P35" s="1"/>
      <c r="Q35" s="1"/>
      <c r="R35" s="17">
        <f>SUM(K35:Q35)</f>
        <v>0</v>
      </c>
      <c r="T35" s="14">
        <f>R35+J35</f>
        <v>-50</v>
      </c>
      <c r="V35" s="28">
        <v>4</v>
      </c>
      <c r="W35" s="44">
        <v>45754</v>
      </c>
      <c r="X35" s="28">
        <v>330</v>
      </c>
      <c r="Y35" s="28">
        <v>-330</v>
      </c>
      <c r="Z35" s="28">
        <v>330</v>
      </c>
      <c r="AA35" s="28">
        <f>T55-T37</f>
        <v>-330</v>
      </c>
      <c r="AE35" s="50" t="s">
        <v>5</v>
      </c>
      <c r="AF35" s="50" t="s">
        <v>235</v>
      </c>
    </row>
    <row r="36" spans="2:32" ht="15" thickBot="1" x14ac:dyDescent="0.35">
      <c r="B36" s="68"/>
      <c r="C36" s="21" t="s">
        <v>242</v>
      </c>
      <c r="D36" s="9"/>
      <c r="E36" s="10">
        <v>2</v>
      </c>
      <c r="F36" s="10"/>
      <c r="G36" s="10"/>
      <c r="H36" s="10">
        <v>1</v>
      </c>
      <c r="I36" s="10"/>
      <c r="J36" s="11">
        <f>(D36*D$62)+(E36*E$62)+(F36*F$62)+(G36*G$62)+(H36*H$62)+(I36*I$62)</f>
        <v>250</v>
      </c>
      <c r="K36" s="12" t="str">
        <f>IF(D36&gt;=100, 250, IF(D36&gt;=50, 150, IF(D36&gt;=30, 50, "")))</f>
        <v/>
      </c>
      <c r="L36" s="12">
        <f>IF(E36=5, 200, IF(E36=3, 150, IF(E36=2, 50, "")))</f>
        <v>50</v>
      </c>
      <c r="M36" s="12" t="str">
        <f>IF(H36=3,100,IF(H36=5,200,""))</f>
        <v/>
      </c>
      <c r="N36" s="12"/>
      <c r="O36" s="12"/>
      <c r="P36" s="10"/>
      <c r="Q36" s="10"/>
      <c r="R36" s="13">
        <f>SUM(K36:Q36)</f>
        <v>50</v>
      </c>
      <c r="T36" s="22">
        <f>(R36+J36)</f>
        <v>300</v>
      </c>
      <c r="V36" s="28">
        <v>5</v>
      </c>
      <c r="W36" s="29"/>
      <c r="X36" s="28"/>
      <c r="Y36" s="28"/>
      <c r="Z36" s="28"/>
      <c r="AA36" s="28"/>
      <c r="AE36" s="28" t="s">
        <v>211</v>
      </c>
      <c r="AF36" s="28">
        <f>T37</f>
        <v>1530</v>
      </c>
    </row>
    <row r="37" spans="2:32" ht="15" thickBot="1" x14ac:dyDescent="0.35">
      <c r="T37" s="37">
        <f>SUM(T32:T36)</f>
        <v>1530</v>
      </c>
      <c r="V37" s="28">
        <v>6</v>
      </c>
      <c r="W37" s="29"/>
      <c r="X37" s="28"/>
      <c r="Y37" s="28"/>
      <c r="Z37" s="28"/>
      <c r="AA37" s="28"/>
      <c r="AE37" s="28" t="s">
        <v>96</v>
      </c>
      <c r="AF37" s="28">
        <f>T43</f>
        <v>1200</v>
      </c>
    </row>
    <row r="38" spans="2:32" x14ac:dyDescent="0.3">
      <c r="B38" s="66" t="s">
        <v>96</v>
      </c>
      <c r="C38" s="39" t="s">
        <v>238</v>
      </c>
      <c r="D38" s="23">
        <v>17</v>
      </c>
      <c r="E38" s="6"/>
      <c r="F38" s="6"/>
      <c r="G38" s="6"/>
      <c r="H38" s="6">
        <v>1</v>
      </c>
      <c r="I38" s="6"/>
      <c r="J38" s="7">
        <f>(D38*D$62)+(E38*E$62)+(F38*F$62)+(G38*G$62)+(H38*H$62)+(I38*I$62)</f>
        <v>135</v>
      </c>
      <c r="K38" s="5" t="str">
        <f>IF(D38&gt;=100, 250, IF(D38&gt;=50, 150, IF(D38&gt;=30, 50, "")))</f>
        <v/>
      </c>
      <c r="L38" s="23" t="str">
        <f>IF(E38=5, 200, IF(E38=3, 150, IF(E38=2, 50, "")))</f>
        <v/>
      </c>
      <c r="M38" s="23" t="str">
        <f>IF(H38=3,100,IF(H38=5,200,""))</f>
        <v/>
      </c>
      <c r="N38" s="23"/>
      <c r="O38" s="23"/>
      <c r="P38" s="6"/>
      <c r="Q38" s="6"/>
      <c r="R38" s="24">
        <f>SUM(K38:Q38)</f>
        <v>0</v>
      </c>
      <c r="T38" s="33">
        <f>(R38+J38)*2</f>
        <v>270</v>
      </c>
      <c r="V38" s="28">
        <v>7</v>
      </c>
      <c r="W38" s="29"/>
      <c r="X38" s="28"/>
      <c r="Y38" s="28"/>
      <c r="Z38" s="28"/>
      <c r="AA38" s="28"/>
      <c r="AE38" s="28" t="s">
        <v>97</v>
      </c>
      <c r="AF38" s="28">
        <f>T49</f>
        <v>1530</v>
      </c>
    </row>
    <row r="39" spans="2:32" x14ac:dyDescent="0.3">
      <c r="B39" s="67"/>
      <c r="C39" s="19" t="s">
        <v>35</v>
      </c>
      <c r="D39" s="20">
        <v>64</v>
      </c>
      <c r="E39" s="1"/>
      <c r="F39" s="1"/>
      <c r="G39" s="1"/>
      <c r="H39" s="1"/>
      <c r="I39" s="1"/>
      <c r="J39" s="19">
        <f>(D39*D$62)+(E39*E$62)+(F39*F$62)+(G39*G$62)+(H39*H$62)+(I39*I$62)</f>
        <v>320</v>
      </c>
      <c r="K39" s="43">
        <f>IF(D39&gt;=100, 250, IF(D39&gt;=50, 150, IF(D39&gt;=30, 50, "")))</f>
        <v>150</v>
      </c>
      <c r="L39" s="20" t="str">
        <f>IF(E39=5, 200, IF(E39=3, 150, IF(E39=2, 50, "")))</f>
        <v/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150</v>
      </c>
      <c r="T39" s="14">
        <f>R39+J39</f>
        <v>470</v>
      </c>
      <c r="V39" s="28">
        <v>8</v>
      </c>
      <c r="W39" s="29"/>
      <c r="X39" s="28"/>
      <c r="Y39" s="28"/>
      <c r="Z39" s="28"/>
      <c r="AA39" s="28"/>
      <c r="AE39" s="28" t="s">
        <v>98</v>
      </c>
      <c r="AF39" s="28">
        <f>T55</f>
        <v>1200</v>
      </c>
    </row>
    <row r="40" spans="2:32" x14ac:dyDescent="0.3">
      <c r="B40" s="67"/>
      <c r="C40" s="19" t="s">
        <v>158</v>
      </c>
      <c r="D40" s="20"/>
      <c r="E40" s="1">
        <v>2</v>
      </c>
      <c r="F40" s="1"/>
      <c r="G40" s="1"/>
      <c r="H40" s="1"/>
      <c r="I40" s="1"/>
      <c r="J40" s="19">
        <f>(D40*D$62)+(E40*E$62)+(F40*F$62)+(G40*G$62)+(H40*H$62)+(I40*I$62)</f>
        <v>200</v>
      </c>
      <c r="K40" s="43" t="str">
        <f>IF(D40&gt;=100, 250, IF(D40&gt;=50, 150, IF(D40&gt;=30, 50, "")))</f>
        <v/>
      </c>
      <c r="L40" s="20">
        <f>IF(E40=5, 200, IF(E40=3, 150, IF(E40=2, 50, "")))</f>
        <v>50</v>
      </c>
      <c r="M40" s="20" t="str">
        <f>IF(H40=3,100,IF(H40=5,200,""))</f>
        <v/>
      </c>
      <c r="N40" s="20"/>
      <c r="O40" s="20"/>
      <c r="P40" s="1"/>
      <c r="Q40" s="1"/>
      <c r="R40" s="17">
        <f>SUM(K40:Q40)</f>
        <v>50</v>
      </c>
      <c r="T40" s="14">
        <f>R40+J40</f>
        <v>250</v>
      </c>
      <c r="V40" s="28"/>
      <c r="W40" s="29"/>
      <c r="X40" s="28"/>
      <c r="Y40" s="28"/>
      <c r="Z40" s="28"/>
      <c r="AA40" s="28"/>
    </row>
    <row r="41" spans="2:32" x14ac:dyDescent="0.3">
      <c r="B41" s="67"/>
      <c r="C41" s="19" t="s">
        <v>239</v>
      </c>
      <c r="D41" s="20">
        <v>11</v>
      </c>
      <c r="E41" s="1"/>
      <c r="F41" s="1"/>
      <c r="G41" s="1"/>
      <c r="H41" s="1">
        <v>1</v>
      </c>
      <c r="I41" s="1"/>
      <c r="J41" s="19">
        <f>(D41*D$62)+(E41*E$62)+(F41*F$62)+(G41*G$62)+(H41*H$62)+(I41*I$62)</f>
        <v>105</v>
      </c>
      <c r="K41" s="43" t="str">
        <f>IF(D41&gt;=100, 250, IF(D41&gt;=50, 150, IF(D41&gt;=30, 50, "")))</f>
        <v/>
      </c>
      <c r="L41" s="20"/>
      <c r="M41" s="20" t="str">
        <f>IF(H41=3,100,IF(H41=5,200,""))</f>
        <v/>
      </c>
      <c r="N41" s="20"/>
      <c r="O41" s="20"/>
      <c r="P41" s="1"/>
      <c r="Q41" s="1"/>
      <c r="R41" s="17">
        <f>SUM(K41:Q41)</f>
        <v>0</v>
      </c>
      <c r="T41" s="14">
        <f>R41+J41</f>
        <v>105</v>
      </c>
      <c r="V41" s="28"/>
      <c r="W41" s="29"/>
      <c r="X41" s="28"/>
      <c r="Y41" s="28"/>
      <c r="Z41" s="28"/>
      <c r="AA41" s="28"/>
    </row>
    <row r="42" spans="2:32" ht="15" thickBot="1" x14ac:dyDescent="0.35">
      <c r="B42" s="68"/>
      <c r="C42" s="11" t="s">
        <v>159</v>
      </c>
      <c r="D42" s="12">
        <v>1</v>
      </c>
      <c r="E42" s="10"/>
      <c r="F42" s="10"/>
      <c r="G42" s="10"/>
      <c r="H42" s="10">
        <v>2</v>
      </c>
      <c r="I42" s="10"/>
      <c r="J42" s="11">
        <f>(D42*D$62)+(E42*E$62)+(F42*F$62)+(G42*G$62)+(H42*H$62)+(I42*I$62)</f>
        <v>105</v>
      </c>
      <c r="K42" s="9" t="str">
        <f>IF(D42&gt;=100, 250, IF(D42&gt;=50, 150, IF(D42&gt;=30, 50, "")))</f>
        <v/>
      </c>
      <c r="L42" s="12" t="str">
        <f>IF(E42=5, 200, IF(E42=3, 150, IF(E42=2, 50, "")))</f>
        <v/>
      </c>
      <c r="M42" s="12" t="str">
        <f>IF(H42=3,100,IF(H42=5,200,""))</f>
        <v/>
      </c>
      <c r="N42" s="12"/>
      <c r="O42" s="12"/>
      <c r="P42" s="10"/>
      <c r="Q42" s="10"/>
      <c r="R42" s="13">
        <f>SUM(K42:Q42)</f>
        <v>0</v>
      </c>
      <c r="T42" s="34">
        <f>R42+J42</f>
        <v>105</v>
      </c>
      <c r="V42" s="28"/>
      <c r="W42" s="29"/>
      <c r="X42" s="28"/>
      <c r="Y42" s="28"/>
      <c r="Z42" s="28"/>
      <c r="AA42" s="28"/>
    </row>
    <row r="43" spans="2:32" ht="15" thickBot="1" x14ac:dyDescent="0.35">
      <c r="T43" s="37">
        <f>SUM(T38:T42)</f>
        <v>1200</v>
      </c>
      <c r="V43" s="28"/>
      <c r="W43" s="29"/>
      <c r="X43" s="28"/>
      <c r="Y43" s="28"/>
      <c r="Z43" s="28"/>
      <c r="AA43" s="28"/>
    </row>
    <row r="44" spans="2:32" x14ac:dyDescent="0.3">
      <c r="B44" s="66" t="s">
        <v>97</v>
      </c>
      <c r="C44" s="39" t="s">
        <v>57</v>
      </c>
      <c r="D44" s="23">
        <v>17</v>
      </c>
      <c r="E44" s="6"/>
      <c r="F44" s="6"/>
      <c r="G44" s="6"/>
      <c r="H44" s="6"/>
      <c r="I44" s="6"/>
      <c r="J44" s="7">
        <f>(D44*D$62)+(E44*E$62)+(F44*F$62)+(G44*G$62)+(H44*H$62)+(I44*I$62)</f>
        <v>85</v>
      </c>
      <c r="K44" s="5" t="str">
        <f>IF(D44&gt;=100, 250, IF(D44&gt;=50, 150, IF(D44&gt;=30, 50, "")))</f>
        <v/>
      </c>
      <c r="L44" s="23" t="str">
        <f>IF(E44=5, 200, IF(E44=3, 150, IF(E44=2, 50, "")))</f>
        <v/>
      </c>
      <c r="M44" s="23" t="str">
        <f>IF(H44=3,100,IF(H44=5,200,""))</f>
        <v/>
      </c>
      <c r="N44" s="23"/>
      <c r="O44" s="23"/>
      <c r="P44" s="6"/>
      <c r="Q44" s="6"/>
      <c r="R44" s="24">
        <f>SUM(K44:Q44)</f>
        <v>0</v>
      </c>
      <c r="T44" s="33">
        <f>(R44+J44)*2</f>
        <v>170</v>
      </c>
      <c r="V44" s="28"/>
      <c r="W44" s="29"/>
      <c r="X44" s="28"/>
      <c r="Y44" s="28"/>
      <c r="Z44" s="28"/>
      <c r="AA44" s="28"/>
    </row>
    <row r="45" spans="2:32" x14ac:dyDescent="0.3">
      <c r="B45" s="67"/>
      <c r="C45" s="19" t="s">
        <v>240</v>
      </c>
      <c r="D45" s="20"/>
      <c r="E45" s="1"/>
      <c r="F45" s="1"/>
      <c r="G45" s="1"/>
      <c r="H45" s="1">
        <v>1</v>
      </c>
      <c r="I45" s="1"/>
      <c r="J45" s="19">
        <f>(D45*D$62)+(E45*E$62)+(F45*F$62)+(G45*G$62)+(H45*H$62)+(I45*I$62)</f>
        <v>50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50</v>
      </c>
      <c r="V45" s="28"/>
      <c r="W45" s="29"/>
      <c r="X45" s="28"/>
      <c r="Y45" s="28"/>
      <c r="Z45" s="28"/>
      <c r="AA45" s="28"/>
    </row>
    <row r="46" spans="2:32" x14ac:dyDescent="0.3">
      <c r="B46" s="67"/>
      <c r="C46" s="19" t="s">
        <v>166</v>
      </c>
      <c r="D46" s="20">
        <v>42</v>
      </c>
      <c r="E46" s="1">
        <v>2</v>
      </c>
      <c r="F46" s="1"/>
      <c r="G46" s="1"/>
      <c r="H46" s="1"/>
      <c r="I46" s="1"/>
      <c r="J46" s="19">
        <f>(D46*D$62)+(E46*E$62)+(F46*F$62)+(G46*G$62)+(H46*H$62)+(I46*I$62)</f>
        <v>410</v>
      </c>
      <c r="K46" s="43">
        <f>IF(D46&gt;=100, 250, IF(D46&gt;=50, 150, IF(D46&gt;=30, 50, "")))</f>
        <v>50</v>
      </c>
      <c r="L46" s="20">
        <f>IF(E46=5, 250, IF(E46=3, 150, IF(E46=2, 50, "")))</f>
        <v>50</v>
      </c>
      <c r="M46" s="20" t="str">
        <f>IF(H46=3,100,IF(H46=5,200,""))</f>
        <v/>
      </c>
      <c r="N46" s="20"/>
      <c r="O46" s="20"/>
      <c r="P46" s="1"/>
      <c r="Q46" s="1"/>
      <c r="R46" s="17">
        <f>SUM(K46:Q46)</f>
        <v>100</v>
      </c>
      <c r="T46" s="14">
        <f>R46+J46</f>
        <v>510</v>
      </c>
      <c r="V46" s="28"/>
      <c r="W46" s="29"/>
      <c r="X46" s="28"/>
      <c r="Y46" s="28"/>
      <c r="Z46" s="28"/>
      <c r="AA46" s="28"/>
    </row>
    <row r="47" spans="2:32" x14ac:dyDescent="0.3">
      <c r="B47" s="67"/>
      <c r="C47" s="19" t="s">
        <v>65</v>
      </c>
      <c r="D47" s="20">
        <v>40</v>
      </c>
      <c r="E47" s="1"/>
      <c r="F47" s="1"/>
      <c r="G47" s="1"/>
      <c r="H47" s="1"/>
      <c r="I47" s="1"/>
      <c r="J47" s="19">
        <f>(D47*D$62)+(E47*E$62)+(F47*F$62)+(G47*G$62)+(H47*H$62)+(I47*I$62)</f>
        <v>200</v>
      </c>
      <c r="K47" s="43">
        <f>IF(D47&gt;=100, 250, IF(D47&gt;=50, 150, IF(D47&gt;=30, 50, "")))</f>
        <v>50</v>
      </c>
      <c r="L47" s="20" t="str">
        <f>IF(E47=5, 200, IF(E47=3, 150, IF(E47=2, 50, "")))</f>
        <v/>
      </c>
      <c r="M47" s="20" t="str">
        <f>IF(H47=3,100,IF(H47=5,200,""))</f>
        <v/>
      </c>
      <c r="N47" s="20"/>
      <c r="O47" s="20"/>
      <c r="P47" s="1"/>
      <c r="Q47" s="1"/>
      <c r="R47" s="17">
        <f>SUM(K47:Q47)</f>
        <v>50</v>
      </c>
      <c r="T47" s="14">
        <f>R47+J47</f>
        <v>250</v>
      </c>
      <c r="V47" s="28"/>
      <c r="W47" s="29"/>
      <c r="X47" s="28"/>
      <c r="Y47" s="28"/>
      <c r="Z47" s="28"/>
      <c r="AA47" s="28"/>
    </row>
    <row r="48" spans="2:32" ht="15" thickBot="1" x14ac:dyDescent="0.35">
      <c r="B48" s="68"/>
      <c r="C48" s="11" t="s">
        <v>241</v>
      </c>
      <c r="D48" s="12"/>
      <c r="E48" s="10">
        <v>4</v>
      </c>
      <c r="F48" s="10"/>
      <c r="G48" s="10"/>
      <c r="H48" s="10"/>
      <c r="I48" s="10"/>
      <c r="J48" s="11">
        <f>(D48*D$62)+(E48*E$62)+(F48*F$62)+(G48*G$62)+(H48*H$62)+(I48*I$62)</f>
        <v>400</v>
      </c>
      <c r="K48" s="9" t="str">
        <f>IF(D48&gt;=100, 250, IF(D48&gt;=50, 150, IF(D48&gt;=30, 50, "")))</f>
        <v/>
      </c>
      <c r="L48" s="12">
        <v>150</v>
      </c>
      <c r="M48" s="12" t="str">
        <f>IF(H48=3,100,IF(H48=5,200,""))</f>
        <v/>
      </c>
      <c r="N48" s="12"/>
      <c r="O48" s="12"/>
      <c r="P48" s="10"/>
      <c r="Q48" s="10"/>
      <c r="R48" s="13">
        <f>SUM(K48:Q48)</f>
        <v>150</v>
      </c>
      <c r="T48" s="34">
        <f>R48+J48</f>
        <v>550</v>
      </c>
      <c r="V48" s="28"/>
      <c r="W48" s="29"/>
      <c r="X48" s="28"/>
      <c r="Y48" s="28"/>
      <c r="Z48" s="28"/>
      <c r="AA48" s="28"/>
    </row>
    <row r="49" spans="2:27" ht="15" thickBot="1" x14ac:dyDescent="0.35">
      <c r="T49" s="37">
        <f>SUM(T44:T48)</f>
        <v>1530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46</v>
      </c>
      <c r="D50" s="23">
        <v>4</v>
      </c>
      <c r="E50" s="6"/>
      <c r="F50" s="6"/>
      <c r="G50" s="6"/>
      <c r="H50" s="6">
        <v>1</v>
      </c>
      <c r="I50" s="6"/>
      <c r="J50" s="7">
        <f>(D50*D$62)+(E50*E$62)+(F50*F$62)+(G50*G$62)+(H50*H$62)+(I50*I$62)</f>
        <v>70</v>
      </c>
      <c r="K50" s="5" t="str">
        <f>IF(D50&gt;=100, 250, IF(D50&gt;=50, 150, IF(D50&gt;=30, 50, "")))</f>
        <v/>
      </c>
      <c r="L50" s="23" t="str">
        <f>IF(E50=5, 200, IF(E50=3, 150, IF(E50=2, 50, "")))</f>
        <v/>
      </c>
      <c r="M50" s="23" t="str">
        <f>IF(H50=3,100,IF(H50=5,200,""))</f>
        <v/>
      </c>
      <c r="N50" s="23"/>
      <c r="O50" s="23"/>
      <c r="P50" s="6"/>
      <c r="Q50" s="6"/>
      <c r="R50" s="24">
        <f>SUM(K50:Q50)</f>
        <v>0</v>
      </c>
      <c r="T50" s="33">
        <f>(R50+J50)*2</f>
        <v>140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70</v>
      </c>
      <c r="D51" s="20">
        <v>28</v>
      </c>
      <c r="E51" s="1"/>
      <c r="F51" s="1"/>
      <c r="G51" s="1"/>
      <c r="H51" s="1"/>
      <c r="I51" s="1"/>
      <c r="J51" s="19">
        <f>(D51*D$62)+(E51*E$62)+(F51*F$62)+(G51*G$62)+(H51*H$62)+(I51*I$62)</f>
        <v>140</v>
      </c>
      <c r="K51" s="43" t="str">
        <f>IF(D51&gt;=100, 250, IF(D51&gt;=50, 150, IF(D51&gt;=30, 50, "")))</f>
        <v/>
      </c>
      <c r="L51" s="20" t="str">
        <f t="shared" ref="L51:L53" si="1">IF(E51=5, 200, IF(E51=3, 150, IF(E51=2, 50, "")))</f>
        <v/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0</v>
      </c>
      <c r="T51" s="14">
        <f>R51+J51</f>
        <v>140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51</v>
      </c>
      <c r="D52" s="20">
        <v>1</v>
      </c>
      <c r="E52" s="1">
        <v>2</v>
      </c>
      <c r="F52" s="1"/>
      <c r="G52" s="1"/>
      <c r="H52" s="1"/>
      <c r="I52" s="1"/>
      <c r="J52" s="19">
        <f>(D52*D$62)+(E52*E$62)+(F52*F$62)+(G52*G$62)+(H52*H$62)+(I52*I$62)</f>
        <v>205</v>
      </c>
      <c r="K52" s="43" t="str">
        <f>IF(D52&gt;=100, 250, IF(D52&gt;=50, 150, IF(D52&gt;=30, 50, "")))</f>
        <v/>
      </c>
      <c r="L52" s="20">
        <f t="shared" si="1"/>
        <v>50</v>
      </c>
      <c r="M52" s="20" t="str">
        <f>IF(H52=3,100,IF(H52=5,200,""))</f>
        <v/>
      </c>
      <c r="N52" s="20"/>
      <c r="O52" s="20"/>
      <c r="P52" s="1"/>
      <c r="Q52" s="1"/>
      <c r="R52" s="17">
        <f>SUM(K52:Q52)</f>
        <v>50</v>
      </c>
      <c r="T52" s="14">
        <f>R52+J52</f>
        <v>255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160</v>
      </c>
      <c r="D53" s="20">
        <v>37</v>
      </c>
      <c r="E53" s="1"/>
      <c r="F53" s="1"/>
      <c r="G53" s="1"/>
      <c r="H53" s="1"/>
      <c r="I53" s="1"/>
      <c r="J53" s="19">
        <f>(D53*D$62)+(E53*E$62)+(F53*F$62)+(G53*G$62)+(H53*H$62)+(I53*I$62)</f>
        <v>185</v>
      </c>
      <c r="K53" s="43">
        <f>IF(D53&gt;=100, 250, IF(D53&gt;=50, 150, IF(D53&gt;=30, 50, "")))</f>
        <v>50</v>
      </c>
      <c r="L53" s="20" t="str">
        <f t="shared" si="1"/>
        <v/>
      </c>
      <c r="M53" s="20" t="str">
        <f>IF(H53=3,100,IF(H53=5,200,""))</f>
        <v/>
      </c>
      <c r="N53" s="20"/>
      <c r="O53" s="20"/>
      <c r="P53" s="1"/>
      <c r="Q53" s="1"/>
      <c r="R53" s="17">
        <f>SUM(K53:Q53)</f>
        <v>50</v>
      </c>
      <c r="T53" s="14">
        <f>R53+J53</f>
        <v>235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55</v>
      </c>
      <c r="D54" s="12">
        <v>56</v>
      </c>
      <c r="E54" s="10"/>
      <c r="F54" s="10"/>
      <c r="G54" s="10"/>
      <c r="H54" s="10"/>
      <c r="I54" s="10"/>
      <c r="J54" s="11">
        <f>(D54*D$62)+(E54*E$62)+(F54*F$62)+(G54*G$62)+(H54*H$62)+(I54*I$62)</f>
        <v>280</v>
      </c>
      <c r="K54" s="9">
        <f>IF(D54&gt;=100, 250, IF(D54&gt;=50, 150, IF(D54&gt;=30, 50, "")))</f>
        <v>150</v>
      </c>
      <c r="L54" s="12" t="str">
        <f>IF(E54=5, 200, IF(E54=3, 150, IF(E54=2, 50, "")))</f>
        <v/>
      </c>
      <c r="M54" s="12" t="str">
        <f>IF(H54=3,100,IF(H54=5,200,""))</f>
        <v/>
      </c>
      <c r="N54" s="12"/>
      <c r="O54" s="12"/>
      <c r="P54" s="10"/>
      <c r="Q54" s="10"/>
      <c r="R54" s="13">
        <f>SUM(K54:Q54)</f>
        <v>150</v>
      </c>
      <c r="T54" s="34">
        <f>R54+J54</f>
        <v>430</v>
      </c>
      <c r="V54" s="28"/>
      <c r="W54" s="29"/>
      <c r="X54" s="28"/>
      <c r="Y54" s="28"/>
      <c r="Z54" s="28"/>
      <c r="AA54" s="28"/>
    </row>
    <row r="55" spans="2:27" ht="15" thickBot="1" x14ac:dyDescent="0.35">
      <c r="T55" s="37">
        <f>SUM(T50:T54)</f>
        <v>1200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2425</v>
      </c>
      <c r="Y63" s="42">
        <f>SUM(Y64:Y71)</f>
        <v>-1850</v>
      </c>
      <c r="Z63" s="42">
        <f>SUM(Z64:Z71)</f>
        <v>-1490</v>
      </c>
      <c r="AA63" s="42">
        <f>SUM(AA64:AA71)</f>
        <v>915</v>
      </c>
    </row>
    <row r="64" spans="2:27" x14ac:dyDescent="0.3">
      <c r="B64" s="66" t="s">
        <v>211</v>
      </c>
      <c r="C64" s="38"/>
      <c r="D64" s="5"/>
      <c r="E64" s="6"/>
      <c r="F64" s="6"/>
      <c r="G64" s="6"/>
      <c r="H64" s="6"/>
      <c r="I64" s="6"/>
      <c r="J64" s="7">
        <f>(D64*D$62)+(E64*E$62)+(F64*F$62)+(G64*G$62)+(H64*H$62)+(I64*I$62)</f>
        <v>0</v>
      </c>
      <c r="K64" s="15" t="str">
        <f>IF(D64&gt;=100, 250, IF(D64&gt;=50, 150, IF(D64&gt;=30, 50, "")))</f>
        <v/>
      </c>
      <c r="L64" s="15" t="str">
        <f>IF(E64=5, 200, IF(E64=3, 150, IF(E64=2, 50, "")))</f>
        <v/>
      </c>
      <c r="M64" s="15" t="str">
        <f>IF(H64=3,100,IF(H64=5,200,""))</f>
        <v/>
      </c>
      <c r="N64" s="15"/>
      <c r="O64" s="15"/>
      <c r="P64" s="16"/>
      <c r="Q64" s="16"/>
      <c r="R64" s="17">
        <f>SUM(K64:Q64)</f>
        <v>0</v>
      </c>
      <c r="T64" s="14">
        <f>(R64+J64)*2</f>
        <v>0</v>
      </c>
      <c r="V64" s="28">
        <v>1</v>
      </c>
      <c r="W64" s="29">
        <v>45752</v>
      </c>
      <c r="X64" s="28">
        <v>3045</v>
      </c>
      <c r="Y64" s="28">
        <v>-1065</v>
      </c>
      <c r="Z64" s="28">
        <v>-1060</v>
      </c>
      <c r="AA64" s="28">
        <v>-920</v>
      </c>
    </row>
    <row r="65" spans="2:27" x14ac:dyDescent="0.3">
      <c r="B65" s="67"/>
      <c r="C65" s="4"/>
      <c r="D65" s="18"/>
      <c r="E65" s="1"/>
      <c r="F65" s="1"/>
      <c r="G65" s="1"/>
      <c r="H65" s="1"/>
      <c r="I65" s="1"/>
      <c r="J65" s="19">
        <f>(D65*D$62)+(E65*E$62)+(F65*F$62)+(G65*G$62)+(H65*H$62)+(I65*I$62)</f>
        <v>0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0</v>
      </c>
      <c r="V65" s="28">
        <v>2</v>
      </c>
      <c r="W65" s="29">
        <v>45752</v>
      </c>
      <c r="X65" s="45">
        <v>-620</v>
      </c>
      <c r="Y65" s="45">
        <v>-785</v>
      </c>
      <c r="Z65" s="45">
        <v>-430</v>
      </c>
      <c r="AA65" s="45">
        <v>1835</v>
      </c>
    </row>
    <row r="66" spans="2:27" x14ac:dyDescent="0.3">
      <c r="B66" s="67"/>
      <c r="C66" s="4"/>
      <c r="D66" s="18"/>
      <c r="E66" s="1"/>
      <c r="F66" s="1"/>
      <c r="G66" s="1"/>
      <c r="H66" s="1"/>
      <c r="I66" s="1"/>
      <c r="J66" s="19">
        <f>(D66*D$62)+(E66*E$62)+(F66*F$62)+(G66*G$62)+(H66*H$62)+(I66*I$62)</f>
        <v>0</v>
      </c>
      <c r="K66" s="15" t="str">
        <f>IF(D66&gt;=100, 250, IF(D66&gt;=50, 150, IF(D66&gt;=30, 50, "")))</f>
        <v/>
      </c>
      <c r="L66" s="20" t="str">
        <f>IF(E66=5, 200, IF(E66=3, 150, IF(E66=2, 50, "")))</f>
        <v/>
      </c>
      <c r="M66" s="20" t="str">
        <f>IF(H66=3,100,IF(H66=5,200,""))</f>
        <v/>
      </c>
      <c r="N66" s="20"/>
      <c r="O66" s="20"/>
      <c r="P66" s="1"/>
      <c r="Q66" s="1"/>
      <c r="R66" s="17">
        <f>SUM(K66:Q66)</f>
        <v>0</v>
      </c>
      <c r="T66" s="14">
        <f>R66+J66</f>
        <v>0</v>
      </c>
      <c r="V66" s="28">
        <v>3</v>
      </c>
      <c r="W66" s="44"/>
      <c r="X66" s="45"/>
      <c r="Y66" s="45"/>
      <c r="Z66" s="45"/>
      <c r="AA66" s="45"/>
    </row>
    <row r="67" spans="2:27" x14ac:dyDescent="0.3">
      <c r="B67" s="67"/>
      <c r="C67" s="4"/>
      <c r="D67" s="18"/>
      <c r="E67" s="1"/>
      <c r="F67" s="1"/>
      <c r="G67" s="1"/>
      <c r="H67" s="1"/>
      <c r="I67" s="1"/>
      <c r="J67" s="19">
        <f>(D67*D$62)+(E67*E$62)+(F67*F$62)+(G67*G$62)+(H67*H$62)+(I67*I$62)</f>
        <v>0</v>
      </c>
      <c r="K67" s="15" t="str">
        <f>IF(D67&gt;=100, 250, IF(D67&gt;=50, 150, IF(D67&gt;=30, 50, "")))</f>
        <v/>
      </c>
      <c r="L67" s="20" t="str">
        <f>IF(E67=5, 200, IF(E67=3, 150, IF(E67=2, 50, "")))</f>
        <v/>
      </c>
      <c r="M67" s="20" t="str">
        <f>IF(H67=3,100,IF(H67=5,200,""))</f>
        <v/>
      </c>
      <c r="N67" s="20"/>
      <c r="O67" s="20"/>
      <c r="P67" s="1"/>
      <c r="Q67" s="1"/>
      <c r="R67" s="17">
        <f>SUM(K67:Q67)</f>
        <v>0</v>
      </c>
      <c r="T67" s="14">
        <f>R67+J67</f>
        <v>0</v>
      </c>
      <c r="V67" s="28">
        <v>4</v>
      </c>
      <c r="W67" s="29"/>
      <c r="X67" s="28"/>
      <c r="Y67" s="28"/>
      <c r="Z67" s="28"/>
      <c r="AA67" s="28"/>
    </row>
    <row r="68" spans="2:27" ht="15" thickBot="1" x14ac:dyDescent="0.35">
      <c r="B68" s="68"/>
      <c r="C68" s="21"/>
      <c r="D68" s="9"/>
      <c r="E68" s="10"/>
      <c r="F68" s="10"/>
      <c r="G68" s="10"/>
      <c r="H68" s="10"/>
      <c r="I68" s="10"/>
      <c r="J68" s="11">
        <f>(D68*D$62)+(E68*E$62)+(F68*F$62)+(G68*G$62)+(H68*H$62)+(I68*I$62)</f>
        <v>0</v>
      </c>
      <c r="K68" s="12" t="str">
        <f>IF(D68&gt;=100, 250, IF(D68&gt;=50, 150, IF(D68&gt;=30, 50, "")))</f>
        <v/>
      </c>
      <c r="L68" s="12" t="str">
        <f>IF(E68=5, 200, IF(E68=3, 150, IF(E68=2, 50, "")))</f>
        <v/>
      </c>
      <c r="M68" s="12" t="str">
        <f>IF(H68=3,100,IF(H68=5,200,""))</f>
        <v/>
      </c>
      <c r="N68" s="12"/>
      <c r="O68" s="12"/>
      <c r="P68" s="10"/>
      <c r="Q68" s="10"/>
      <c r="R68" s="13">
        <f>SUM(K68:Q68)</f>
        <v>0</v>
      </c>
      <c r="T68" s="22">
        <f>(R68+J68)</f>
        <v>0</v>
      </c>
      <c r="V68" s="28">
        <v>5</v>
      </c>
      <c r="W68" s="29"/>
      <c r="X68" s="28"/>
      <c r="Y68" s="28"/>
      <c r="Z68" s="28"/>
      <c r="AA68" s="28"/>
    </row>
    <row r="69" spans="2:27" ht="15" thickBot="1" x14ac:dyDescent="0.35">
      <c r="T69" s="37">
        <f>SUM(T64:T68)</f>
        <v>0</v>
      </c>
      <c r="V69" s="28">
        <v>6</v>
      </c>
      <c r="W69" s="29"/>
      <c r="X69" s="28"/>
      <c r="Y69" s="28"/>
      <c r="Z69" s="28"/>
      <c r="AA69" s="28"/>
    </row>
    <row r="70" spans="2:27" x14ac:dyDescent="0.3">
      <c r="B70" s="66" t="s">
        <v>96</v>
      </c>
      <c r="C70" s="39"/>
      <c r="D70" s="23"/>
      <c r="E70" s="6"/>
      <c r="F70" s="6"/>
      <c r="G70" s="6"/>
      <c r="H70" s="6"/>
      <c r="I70" s="6"/>
      <c r="J70" s="7">
        <f>(D70*D$62)+(E70*E$62)+(F70*F$62)+(G70*G$62)+(H70*H$62)+(I70*I$62)</f>
        <v>0</v>
      </c>
      <c r="K70" s="5" t="str">
        <f>IF(D70&gt;=100, 250, IF(D70&gt;=50, 150, IF(D70&gt;=30, 50, "")))</f>
        <v/>
      </c>
      <c r="L70" s="23" t="str">
        <f>IF(E70=5, 200, IF(E70=3, 150, IF(E70=2, 50, "")))</f>
        <v/>
      </c>
      <c r="M70" s="23" t="str">
        <f>IF(H70=3,100,IF(H70=5,200,""))</f>
        <v/>
      </c>
      <c r="N70" s="23"/>
      <c r="O70" s="23"/>
      <c r="P70" s="6"/>
      <c r="Q70" s="6"/>
      <c r="R70" s="24">
        <f>SUM(K70:Q70)</f>
        <v>0</v>
      </c>
      <c r="T70" s="33">
        <f>(R70+J70)*2</f>
        <v>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/>
      <c r="D71" s="20"/>
      <c r="E71" s="1"/>
      <c r="F71" s="1"/>
      <c r="G71" s="1"/>
      <c r="H71" s="1"/>
      <c r="I71" s="1"/>
      <c r="J71" s="19">
        <f>(D71*D$62)+(E71*E$62)+(F71*F$62)+(G71*G$62)+(H71*H$62)+(I71*I$62)</f>
        <v>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/>
      <c r="D72" s="20"/>
      <c r="E72" s="1"/>
      <c r="F72" s="1"/>
      <c r="G72" s="1"/>
      <c r="H72" s="1"/>
      <c r="I72" s="1"/>
      <c r="J72" s="19">
        <f>(D72*D$62)+(E72*E$62)+(F72*F$62)+(G72*G$62)+(H72*H$62)+(I72*I$62)</f>
        <v>0</v>
      </c>
      <c r="K72" s="43" t="str">
        <f>IF(D72&gt;=100, 250, IF(D72&gt;=50, 150, IF(D72&gt;=30, 50, "")))</f>
        <v/>
      </c>
      <c r="L72" s="20" t="str">
        <f>IF(E72=5, 200, IF(E72=3, 150, IF(E72=2, 50, "")))</f>
        <v/>
      </c>
      <c r="M72" s="20" t="str">
        <f>IF(H72=3,100,IF(H72=5,200,""))</f>
        <v/>
      </c>
      <c r="N72" s="20"/>
      <c r="O72" s="20"/>
      <c r="P72" s="1"/>
      <c r="Q72" s="1"/>
      <c r="R72" s="17">
        <f>SUM(K72:Q72)</f>
        <v>0</v>
      </c>
      <c r="T72" s="14">
        <f>R72+J72</f>
        <v>0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/>
      <c r="D73" s="20"/>
      <c r="E73" s="1"/>
      <c r="F73" s="1"/>
      <c r="G73" s="1"/>
      <c r="H73" s="1"/>
      <c r="I73" s="1"/>
      <c r="J73" s="19">
        <f>(D73*D$62)+(E73*E$62)+(F73*F$62)+(G73*G$62)+(H73*H$62)+(I73*I$62)</f>
        <v>0</v>
      </c>
      <c r="K73" s="43" t="str">
        <f>IF(D73&gt;=100, 250, IF(D73&gt;=50, 150, IF(D73&gt;=30, 50, "")))</f>
        <v/>
      </c>
      <c r="L73" s="20" t="str">
        <f>IF(E73=5, 200, IF(E73=3, 150, IF(E73=2, 50, "")))</f>
        <v/>
      </c>
      <c r="M73" s="20" t="str">
        <f>IF(H73=3,100,IF(H73=5,200,""))</f>
        <v/>
      </c>
      <c r="N73" s="20"/>
      <c r="O73" s="20"/>
      <c r="P73" s="1"/>
      <c r="Q73" s="1"/>
      <c r="R73" s="17">
        <f>SUM(K73:Q73)</f>
        <v>0</v>
      </c>
      <c r="T73" s="14">
        <f>R73+J73</f>
        <v>0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/>
      <c r="D74" s="12"/>
      <c r="E74" s="10"/>
      <c r="F74" s="10"/>
      <c r="G74" s="10"/>
      <c r="H74" s="10"/>
      <c r="I74" s="10"/>
      <c r="J74" s="11">
        <f>(D74*D$62)+(E74*E$62)+(F74*F$62)+(G74*G$62)+(H74*H$62)+(I74*I$62)</f>
        <v>0</v>
      </c>
      <c r="K74" s="9" t="str">
        <f>IF(D74&gt;=100, 250, IF(D74&gt;=50, 150, IF(D74&gt;=30, 50, "")))</f>
        <v/>
      </c>
      <c r="L74" s="12" t="str">
        <f>IF(E74=5, 200, IF(E74=3, 150, IF(E74=2, 50, "")))</f>
        <v/>
      </c>
      <c r="M74" s="12" t="str">
        <f>IF(H74=3,100,IF(H74=5,200,""))</f>
        <v/>
      </c>
      <c r="N74" s="12"/>
      <c r="O74" s="12"/>
      <c r="P74" s="10"/>
      <c r="Q74" s="10"/>
      <c r="R74" s="13">
        <f>SUM(K74:Q74)</f>
        <v>0</v>
      </c>
      <c r="T74" s="34">
        <f>R74+J74</f>
        <v>0</v>
      </c>
      <c r="V74" s="28"/>
      <c r="W74" s="29"/>
      <c r="X74" s="28"/>
      <c r="Y74" s="28"/>
      <c r="Z74" s="28"/>
      <c r="AA74" s="28"/>
    </row>
    <row r="75" spans="2:27" ht="15" thickBot="1" x14ac:dyDescent="0.35">
      <c r="T75" s="37">
        <f>SUM(T70:T74)</f>
        <v>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/>
      <c r="D76" s="23"/>
      <c r="E76" s="6"/>
      <c r="F76" s="6"/>
      <c r="G76" s="6"/>
      <c r="H76" s="6"/>
      <c r="I76" s="6"/>
      <c r="J76" s="7">
        <f>(D76*D$62)+(E76*E$62)+(F76*F$62)+(G76*G$62)+(H76*H$62)+(I76*I$62)</f>
        <v>0</v>
      </c>
      <c r="K76" s="5" t="str">
        <f>IF(D76&gt;=100, 250, IF(D76&gt;=50, 150, IF(D76&gt;=30, 50, "")))</f>
        <v/>
      </c>
      <c r="L76" s="23" t="str">
        <f>IF(E76=5, 200, IF(E76=3, 150, IF(E76=2, 50, "")))</f>
        <v/>
      </c>
      <c r="M76" s="23" t="str">
        <f>IF(H76=3,100,IF(H76=5,200,""))</f>
        <v/>
      </c>
      <c r="N76" s="23"/>
      <c r="O76" s="23"/>
      <c r="P76" s="6"/>
      <c r="Q76" s="6"/>
      <c r="R76" s="24">
        <f>SUM(K76:Q76)</f>
        <v>0</v>
      </c>
      <c r="T76" s="33">
        <f>(R76+J76)*2</f>
        <v>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/>
      <c r="D77" s="20"/>
      <c r="E77" s="1"/>
      <c r="F77" s="1"/>
      <c r="G77" s="1"/>
      <c r="H77" s="1"/>
      <c r="I77" s="1"/>
      <c r="J77" s="19">
        <f>(D77*D$62)+(E77*E$62)+(F77*F$62)+(G77*G$62)+(H77*H$62)+(I77*I$62)</f>
        <v>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/>
      <c r="D78" s="20"/>
      <c r="E78" s="1"/>
      <c r="F78" s="1"/>
      <c r="G78" s="1"/>
      <c r="H78" s="1"/>
      <c r="I78" s="1"/>
      <c r="J78" s="19">
        <f>(D78*D$62)+(E78*E$62)+(F78*F$62)+(G78*G$62)+(H78*H$62)+(I78*I$62)</f>
        <v>0</v>
      </c>
      <c r="K78" s="43" t="str">
        <f>IF(D78&gt;=100, 250, IF(D78&gt;=50, 150, IF(D78&gt;=30, 50, "")))</f>
        <v/>
      </c>
      <c r="L78" s="20" t="str">
        <f>IF(E78=5, 200, IF(E78=3, 150, IF(E78=2, 50, "")))</f>
        <v/>
      </c>
      <c r="M78" s="20" t="str">
        <f>IF(H78=3,100,IF(H78=5,200,""))</f>
        <v/>
      </c>
      <c r="N78" s="20"/>
      <c r="O78" s="20"/>
      <c r="P78" s="1"/>
      <c r="Q78" s="1"/>
      <c r="R78" s="17">
        <f>SUM(K78:Q78)</f>
        <v>0</v>
      </c>
      <c r="T78" s="14">
        <f>R78+J78</f>
        <v>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/>
      <c r="D79" s="20"/>
      <c r="E79" s="1"/>
      <c r="F79" s="1"/>
      <c r="G79" s="1"/>
      <c r="H79" s="1"/>
      <c r="I79" s="1"/>
      <c r="J79" s="19">
        <f>(D79*D$62)+(E79*E$62)+(F79*F$62)+(G79*G$62)+(H79*H$62)+(I79*I$62)</f>
        <v>0</v>
      </c>
      <c r="K79" s="43" t="str">
        <f>IF(D79&gt;=100, 250, IF(D79&gt;=50, 150, IF(D79&gt;=30, 50, "")))</f>
        <v/>
      </c>
      <c r="L79" s="20" t="str">
        <f>IF(E79=5, 200, IF(E79=3, 150, IF(E79=2, 50, "")))</f>
        <v/>
      </c>
      <c r="M79" s="20" t="str">
        <f>IF(H79=3,100,IF(H79=5,200,""))</f>
        <v/>
      </c>
      <c r="N79" s="20"/>
      <c r="O79" s="20"/>
      <c r="P79" s="1"/>
      <c r="Q79" s="1"/>
      <c r="R79" s="17">
        <f>SUM(K79:Q79)</f>
        <v>0</v>
      </c>
      <c r="T79" s="14">
        <f>R79+J79</f>
        <v>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/>
      <c r="D80" s="12"/>
      <c r="E80" s="10"/>
      <c r="F80" s="10"/>
      <c r="G80" s="10"/>
      <c r="H80" s="10"/>
      <c r="I80" s="10"/>
      <c r="J80" s="11">
        <f>(D80*D$62)+(E80*E$62)+(F80*F$62)+(G80*G$62)+(H80*H$62)+(I80*I$62)</f>
        <v>0</v>
      </c>
      <c r="K80" s="9" t="str">
        <f>IF(D80&gt;=100, 250, IF(D80&gt;=50, 150, IF(D80&gt;=30, 50, "")))</f>
        <v/>
      </c>
      <c r="L80" s="12" t="str">
        <f>IF(E80=5, 200, IF(E80=3, 150, IF(E80=2, 50, "")))</f>
        <v/>
      </c>
      <c r="M80" s="12" t="str">
        <f>IF(H80=3,100,IF(H80=5,200,""))</f>
        <v/>
      </c>
      <c r="N80" s="12"/>
      <c r="O80" s="12"/>
      <c r="P80" s="10"/>
      <c r="Q80" s="10"/>
      <c r="R80" s="13">
        <f>SUM(K80:Q80)</f>
        <v>0</v>
      </c>
      <c r="T80" s="34">
        <f>R80+J80</f>
        <v>0</v>
      </c>
      <c r="V80" s="28"/>
      <c r="W80" s="29"/>
      <c r="X80" s="28"/>
      <c r="Y80" s="28"/>
      <c r="Z80" s="28"/>
      <c r="AA80" s="28"/>
    </row>
    <row r="81" spans="2:27" ht="15" thickBot="1" x14ac:dyDescent="0.35">
      <c r="T81" s="37">
        <f>SUM(T76:T80)</f>
        <v>0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/>
      <c r="D82" s="23"/>
      <c r="E82" s="6"/>
      <c r="F82" s="6"/>
      <c r="G82" s="6"/>
      <c r="H82" s="6"/>
      <c r="I82" s="6"/>
      <c r="J82" s="7">
        <f>(D82*D$62)+(E82*E$62)+(F82*F$62)+(G82*G$62)+(H82*H$62)+(I82*I$62)</f>
        <v>0</v>
      </c>
      <c r="K82" s="5" t="str">
        <f>IF(D82&gt;=100, 250, IF(D82&gt;=50, 150, IF(D82&gt;=30, 50, "")))</f>
        <v/>
      </c>
      <c r="L82" s="23" t="str">
        <f>IF(E82=5, 200, IF(E82=3, 150, IF(E82=2, 50, "")))</f>
        <v/>
      </c>
      <c r="M82" s="23" t="str">
        <f>IF(H82=3,100,IF(H82=5,200,""))</f>
        <v/>
      </c>
      <c r="N82" s="23"/>
      <c r="O82" s="23"/>
      <c r="P82" s="6"/>
      <c r="Q82" s="6"/>
      <c r="R82" s="24">
        <f>SUM(K82:Q82)</f>
        <v>0</v>
      </c>
      <c r="T82" s="33">
        <f>(R82+J82)*2</f>
        <v>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/>
      <c r="D83" s="20"/>
      <c r="E83" s="1"/>
      <c r="F83" s="1"/>
      <c r="G83" s="1"/>
      <c r="H83" s="1"/>
      <c r="I83" s="1"/>
      <c r="J83" s="19">
        <f>(D83*D$62)+(E83*E$62)+(F83*F$62)+(G83*G$62)+(H83*H$62)+(I83*I$62)</f>
        <v>0</v>
      </c>
      <c r="K83" s="43" t="str">
        <f>IF(D83&gt;=100, 250, IF(D83&gt;=50, 150, IF(D83&gt;=30, 50, "")))</f>
        <v/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/>
      <c r="P83" s="1"/>
      <c r="Q83" s="1"/>
      <c r="R83" s="17">
        <f>SUM(K83:Q83)</f>
        <v>0</v>
      </c>
      <c r="T83" s="14">
        <f>R83+J83</f>
        <v>0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/>
      <c r="D84" s="20"/>
      <c r="E84" s="1"/>
      <c r="F84" s="1"/>
      <c r="G84" s="1"/>
      <c r="H84" s="1"/>
      <c r="I84" s="1"/>
      <c r="J84" s="19">
        <f>(D84*D$62)+(E84*E$62)+(F84*F$62)+(G84*G$62)+(H84*H$62)+(I84*I$62)</f>
        <v>0</v>
      </c>
      <c r="K84" s="43" t="str">
        <f>IF(D84&gt;=100, 250, IF(D84&gt;=50, 150, IF(D84&gt;=30, 50, "")))</f>
        <v/>
      </c>
      <c r="L84" s="20" t="str">
        <f>IF(E84=5, 200, IF(E84=3, 150, IF(E84=2, 50, "")))</f>
        <v/>
      </c>
      <c r="M84" s="20" t="str">
        <f>IF(H84=3,100,IF(H84=5,200,""))</f>
        <v/>
      </c>
      <c r="N84" s="20"/>
      <c r="O84" s="20"/>
      <c r="P84" s="1"/>
      <c r="Q84" s="1"/>
      <c r="R84" s="17">
        <f>SUM(K84:Q84)</f>
        <v>0</v>
      </c>
      <c r="T84" s="14">
        <f>R84+J84</f>
        <v>0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/>
      <c r="D85" s="20"/>
      <c r="E85" s="1"/>
      <c r="F85" s="1"/>
      <c r="G85" s="1"/>
      <c r="H85" s="1"/>
      <c r="I85" s="1"/>
      <c r="J85" s="19">
        <f>(D85*D$62)+(E85*E$62)+(F85*F$62)+(G85*G$62)+(H85*H$62)+(I85*I$62)</f>
        <v>0</v>
      </c>
      <c r="K85" s="43" t="str">
        <f>IF(D85&gt;=100, 250, IF(D85&gt;=50, 150, IF(D85&gt;=30, 50, "")))</f>
        <v/>
      </c>
      <c r="L85" s="20" t="str">
        <f>IF(E85=5, 200, IF(E85=3, 150, IF(E85=2, 50, "")))</f>
        <v/>
      </c>
      <c r="M85" s="20" t="str">
        <f>IF(H85=3,100,IF(H85=5,200,""))</f>
        <v/>
      </c>
      <c r="N85" s="20"/>
      <c r="O85" s="20"/>
      <c r="P85" s="1"/>
      <c r="Q85" s="1"/>
      <c r="R85" s="17">
        <f>SUM(K85:Q85)</f>
        <v>0</v>
      </c>
      <c r="T85" s="14">
        <f>R85+J85</f>
        <v>0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/>
      <c r="D86" s="12"/>
      <c r="E86" s="10"/>
      <c r="F86" s="10"/>
      <c r="G86" s="10"/>
      <c r="H86" s="10"/>
      <c r="I86" s="10"/>
      <c r="J86" s="11">
        <f>(D86*D$62)+(E86*E$62)+(F86*F$62)+(G86*G$62)+(H86*H$62)+(I86*I$62)</f>
        <v>0</v>
      </c>
      <c r="K86" s="9" t="str">
        <f>IF(D86&gt;=100, 250, IF(D86&gt;=50, 150, IF(D86&gt;=30, 50, "")))</f>
        <v/>
      </c>
      <c r="L86" s="12" t="str">
        <f>IF(E86=5, 200, IF(E86=3, 150, IF(E86=2, 50, "")))</f>
        <v/>
      </c>
      <c r="M86" s="12" t="str">
        <f>IF(H86=3,100,IF(H86=5,200,""))</f>
        <v/>
      </c>
      <c r="N86" s="12"/>
      <c r="O86" s="12"/>
      <c r="P86" s="10"/>
      <c r="Q86" s="10"/>
      <c r="R86" s="13">
        <f>SUM(K86:Q86)</f>
        <v>0</v>
      </c>
      <c r="T86" s="34">
        <f>R86+J86</f>
        <v>0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0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AK87"/>
  <sheetViews>
    <sheetView topLeftCell="A61" zoomScale="90" zoomScaleNormal="90" workbookViewId="0">
      <selection activeCell="W64" sqref="W64:AA69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7" width="8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F3" s="47"/>
      <c r="AG3" s="47" t="s">
        <v>211</v>
      </c>
      <c r="AH3" s="48" t="s">
        <v>96</v>
      </c>
      <c r="AI3" s="48" t="s">
        <v>97</v>
      </c>
      <c r="AJ3" s="48" t="s">
        <v>98</v>
      </c>
      <c r="AK3" s="46"/>
    </row>
    <row r="4" spans="2:37" x14ac:dyDescent="0.3">
      <c r="AE4" s="46"/>
      <c r="AF4" s="49" t="s">
        <v>165</v>
      </c>
      <c r="AG4" s="49">
        <v>-4745</v>
      </c>
      <c r="AH4" s="49">
        <v>2405</v>
      </c>
      <c r="AI4" s="49">
        <v>10275</v>
      </c>
      <c r="AJ4" s="49">
        <v>-7935</v>
      </c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F5" s="49" t="s">
        <v>210</v>
      </c>
      <c r="AG5" s="49">
        <v>-5315</v>
      </c>
      <c r="AH5" s="49">
        <v>-3535</v>
      </c>
      <c r="AI5" s="49">
        <v>5950</v>
      </c>
      <c r="AJ5" s="49">
        <v>2900</v>
      </c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F6" s="49" t="s">
        <v>236</v>
      </c>
      <c r="AG6" s="49">
        <f>X31</f>
        <v>9575</v>
      </c>
      <c r="AH6" s="49">
        <f>Y31</f>
        <v>-3550</v>
      </c>
      <c r="AI6" s="49">
        <f>Z31</f>
        <v>-4280</v>
      </c>
      <c r="AJ6" s="49">
        <f>AA31</f>
        <v>-1745</v>
      </c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F7" s="46"/>
      <c r="AG7" s="46"/>
      <c r="AH7" s="46"/>
      <c r="AI7" s="46"/>
      <c r="AJ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F8" s="46"/>
      <c r="AG8" s="46"/>
      <c r="AH8" s="46"/>
      <c r="AI8" s="46"/>
      <c r="AJ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6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36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36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  <c r="AF30" s="49" t="s">
        <v>0</v>
      </c>
      <c r="AG30" s="49">
        <f>SUM(AG4:AG29)</f>
        <v>-485</v>
      </c>
      <c r="AH30" s="49">
        <f t="shared" ref="AH30:AJ30" si="0">SUM(AH4:AH29)</f>
        <v>-4680</v>
      </c>
      <c r="AI30" s="49">
        <f t="shared" si="0"/>
        <v>11945</v>
      </c>
      <c r="AJ30" s="49">
        <f t="shared" si="0"/>
        <v>-6780</v>
      </c>
    </row>
    <row r="31" spans="2:36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9575</v>
      </c>
      <c r="Y31" s="42">
        <f>SUM(Y32:Y39)</f>
        <v>-3550</v>
      </c>
      <c r="Z31" s="42">
        <f>SUM(Z32:Z39)</f>
        <v>-4280</v>
      </c>
      <c r="AA31" s="42">
        <f>SUM(AA32:AA39)</f>
        <v>-1745</v>
      </c>
    </row>
    <row r="32" spans="2:36" x14ac:dyDescent="0.3">
      <c r="B32" s="66" t="s">
        <v>211</v>
      </c>
      <c r="C32" s="38" t="s">
        <v>53</v>
      </c>
      <c r="D32" s="5">
        <v>87</v>
      </c>
      <c r="E32" s="6"/>
      <c r="F32" s="6"/>
      <c r="G32" s="6"/>
      <c r="H32" s="6">
        <v>1</v>
      </c>
      <c r="I32" s="6"/>
      <c r="J32" s="7">
        <f>(D32*D$62)+(E32*E$62)+(F32*F$62)+(G32*G$62)+(H32*H$62)+(I32*I$62)</f>
        <v>485</v>
      </c>
      <c r="K32" s="15">
        <f>IF(D32&gt;=100, 250, IF(D32&gt;=50, 150, IF(D32&gt;=30, 50, "")))</f>
        <v>150</v>
      </c>
      <c r="L32" s="15" t="str">
        <f>IF(E32=5, 200, IF(E32=3, 150, IF(E32=2, 50, "")))</f>
        <v/>
      </c>
      <c r="M32" s="15" t="str">
        <f>IF(H32=3,100,IF(H32=5,200,""))</f>
        <v/>
      </c>
      <c r="N32" s="15"/>
      <c r="O32" s="15">
        <v>150</v>
      </c>
      <c r="P32" s="16"/>
      <c r="Q32" s="16"/>
      <c r="R32" s="17">
        <f>SUM(K32:Q32)</f>
        <v>300</v>
      </c>
      <c r="T32" s="14">
        <f>(R32+J32)*2</f>
        <v>1570</v>
      </c>
      <c r="V32" s="28">
        <v>1</v>
      </c>
      <c r="W32" s="29">
        <v>45752</v>
      </c>
      <c r="X32" s="28">
        <v>3045</v>
      </c>
      <c r="Y32" s="28">
        <v>-1065</v>
      </c>
      <c r="Z32" s="28">
        <v>-1060</v>
      </c>
      <c r="AA32" s="28">
        <v>-920</v>
      </c>
    </row>
    <row r="33" spans="2:32" x14ac:dyDescent="0.3">
      <c r="B33" s="67"/>
      <c r="C33" s="4" t="s">
        <v>116</v>
      </c>
      <c r="D33" s="18">
        <v>47</v>
      </c>
      <c r="E33" s="1"/>
      <c r="F33" s="1"/>
      <c r="G33" s="1"/>
      <c r="H33" s="1">
        <v>3</v>
      </c>
      <c r="I33" s="1"/>
      <c r="J33" s="19">
        <f>(D33*D$62)+(E33*E$62)+(F33*F$62)+(G33*G$62)+(H33*H$62)+(I33*I$62)</f>
        <v>385</v>
      </c>
      <c r="K33" s="15">
        <f>IF(D33&gt;=100, 250, IF(D33&gt;=50, 150, IF(D33&gt;=30, 50, "")))</f>
        <v>50</v>
      </c>
      <c r="L33" s="20" t="str">
        <f>IF(E33=5, 200, IF(E33=3, 150, IF(E33=2, 50, "")))</f>
        <v/>
      </c>
      <c r="M33" s="20">
        <f>IF(H33=3,100,IF(H33=5,200,""))</f>
        <v>100</v>
      </c>
      <c r="N33" s="20"/>
      <c r="O33" s="20"/>
      <c r="P33" s="1"/>
      <c r="Q33" s="1"/>
      <c r="R33" s="17">
        <f>SUM(K33:Q33)</f>
        <v>150</v>
      </c>
      <c r="T33" s="14">
        <f>R33+J33</f>
        <v>535</v>
      </c>
      <c r="V33" s="28">
        <v>2</v>
      </c>
      <c r="W33" s="29">
        <v>45752</v>
      </c>
      <c r="X33" s="45">
        <v>-620</v>
      </c>
      <c r="Y33" s="45">
        <v>-785</v>
      </c>
      <c r="Z33" s="45">
        <v>-430</v>
      </c>
      <c r="AA33" s="45">
        <v>1835</v>
      </c>
    </row>
    <row r="34" spans="2:32" x14ac:dyDescent="0.3">
      <c r="B34" s="67"/>
      <c r="C34" s="4" t="s">
        <v>243</v>
      </c>
      <c r="D34" s="18">
        <v>5</v>
      </c>
      <c r="E34" s="1"/>
      <c r="F34" s="1"/>
      <c r="G34" s="1"/>
      <c r="H34" s="1"/>
      <c r="I34" s="1"/>
      <c r="J34" s="19">
        <f>(D34*D$62)+(E34*E$62)+(F34*F$62)+(G34*G$62)+(H34*H$62)+(I34*I$62)</f>
        <v>25</v>
      </c>
      <c r="K34" s="15" t="str">
        <f>IF(D34&gt;=100, 250, IF(D34&gt;=50, 150, IF(D34&gt;=30, 50, "")))</f>
        <v/>
      </c>
      <c r="L34" s="20" t="str">
        <f>IF(E34=5, 200, IF(E34=3, 150, IF(E34=2, 50, "")))</f>
        <v/>
      </c>
      <c r="M34" s="20" t="str">
        <f>IF(H34=3,100,IF(H34=5,200,""))</f>
        <v/>
      </c>
      <c r="N34" s="20"/>
      <c r="O34" s="20"/>
      <c r="P34" s="1"/>
      <c r="Q34" s="1"/>
      <c r="R34" s="17">
        <f>SUM(K34:Q34)</f>
        <v>0</v>
      </c>
      <c r="T34" s="14">
        <f>R34+J34</f>
        <v>25</v>
      </c>
      <c r="V34" s="28">
        <v>3</v>
      </c>
      <c r="W34" s="44">
        <v>45753</v>
      </c>
      <c r="X34" s="28">
        <v>2060</v>
      </c>
      <c r="Y34" s="28">
        <v>-650</v>
      </c>
      <c r="Z34" s="28">
        <v>-775</v>
      </c>
      <c r="AA34" s="28">
        <v>-635</v>
      </c>
    </row>
    <row r="35" spans="2:32" x14ac:dyDescent="0.3">
      <c r="B35" s="67"/>
      <c r="C35" s="4" t="s">
        <v>78</v>
      </c>
      <c r="D35" s="18">
        <v>10</v>
      </c>
      <c r="E35" s="1">
        <v>2</v>
      </c>
      <c r="F35" s="1"/>
      <c r="G35" s="1"/>
      <c r="H35" s="1"/>
      <c r="I35" s="1"/>
      <c r="J35" s="19">
        <f>(D35*D$62)+(E35*E$62)+(F35*F$62)+(G35*G$62)+(H35*H$62)+(I35*I$62)</f>
        <v>250</v>
      </c>
      <c r="K35" s="15" t="str">
        <f>IF(D35&gt;=100, 250, IF(D35&gt;=50, 150, IF(D35&gt;=30, 50, "")))</f>
        <v/>
      </c>
      <c r="L35" s="20">
        <f>IF(E35=5, 200, IF(E35=3, 150, IF(E35=2, 50, "")))</f>
        <v>50</v>
      </c>
      <c r="M35" s="20" t="str">
        <f>IF(H35=3,100,IF(H35=5,200,""))</f>
        <v/>
      </c>
      <c r="N35" s="20"/>
      <c r="O35" s="20"/>
      <c r="P35" s="1"/>
      <c r="Q35" s="1"/>
      <c r="R35" s="17">
        <f>SUM(K35:Q35)</f>
        <v>50</v>
      </c>
      <c r="T35" s="14">
        <f>R35+J35</f>
        <v>300</v>
      </c>
      <c r="V35" s="28">
        <v>4</v>
      </c>
      <c r="W35" s="44">
        <v>45754</v>
      </c>
      <c r="X35" s="28">
        <v>330</v>
      </c>
      <c r="Y35" s="28">
        <v>-330</v>
      </c>
      <c r="Z35" s="28">
        <v>330</v>
      </c>
      <c r="AA35" s="28">
        <v>-330</v>
      </c>
      <c r="AE35" s="50" t="s">
        <v>5</v>
      </c>
      <c r="AF35" s="50" t="s">
        <v>235</v>
      </c>
    </row>
    <row r="36" spans="2:32" ht="15" thickBot="1" x14ac:dyDescent="0.35">
      <c r="B36" s="68"/>
      <c r="C36" s="21" t="s">
        <v>69</v>
      </c>
      <c r="D36" s="9">
        <v>38</v>
      </c>
      <c r="E36" s="10"/>
      <c r="F36" s="10"/>
      <c r="G36" s="10"/>
      <c r="H36" s="10">
        <v>1</v>
      </c>
      <c r="I36" s="10"/>
      <c r="J36" s="11">
        <f>(D36*D$62)+(E36*E$62)+(F36*F$62)+(G36*G$62)+(H36*H$62)+(I36*I$62)</f>
        <v>240</v>
      </c>
      <c r="K36" s="12">
        <f>IF(D36&gt;=100, 250, IF(D36&gt;=50, 150, IF(D36&gt;=30, 50, "")))</f>
        <v>50</v>
      </c>
      <c r="L36" s="12" t="str">
        <f>IF(E36=5, 200, IF(E36=3, 150, IF(E36=2, 50, "")))</f>
        <v/>
      </c>
      <c r="M36" s="12" t="str">
        <f>IF(H36=3,100,IF(H36=5,200,""))</f>
        <v/>
      </c>
      <c r="N36" s="12"/>
      <c r="O36" s="12"/>
      <c r="P36" s="10"/>
      <c r="Q36" s="10"/>
      <c r="R36" s="13">
        <f>SUM(K36:Q36)</f>
        <v>50</v>
      </c>
      <c r="T36" s="22">
        <f>(R36+J36)</f>
        <v>290</v>
      </c>
      <c r="V36" s="28">
        <v>5</v>
      </c>
      <c r="W36" s="29">
        <v>45755</v>
      </c>
      <c r="X36" s="28">
        <f>-(Y36+Z36+AA36)</f>
        <v>4760</v>
      </c>
      <c r="Y36" s="28">
        <f>T43-T37</f>
        <v>-720</v>
      </c>
      <c r="Z36" s="28">
        <f>T49-T37</f>
        <v>-2345</v>
      </c>
      <c r="AA36" s="28">
        <f>T55-T37</f>
        <v>-1695</v>
      </c>
      <c r="AE36" s="28" t="s">
        <v>211</v>
      </c>
      <c r="AF36" s="28">
        <f>T37</f>
        <v>2720</v>
      </c>
    </row>
    <row r="37" spans="2:32" ht="15" thickBot="1" x14ac:dyDescent="0.35">
      <c r="T37" s="37">
        <f>SUM(T32:T36)</f>
        <v>2720</v>
      </c>
      <c r="V37" s="28">
        <v>6</v>
      </c>
      <c r="W37" s="29"/>
      <c r="X37" s="28"/>
      <c r="Y37" s="28"/>
      <c r="Z37" s="28"/>
      <c r="AA37" s="28"/>
      <c r="AE37" s="28" t="s">
        <v>96</v>
      </c>
      <c r="AF37" s="28">
        <f>T43</f>
        <v>2000</v>
      </c>
    </row>
    <row r="38" spans="2:32" x14ac:dyDescent="0.3">
      <c r="B38" s="66" t="s">
        <v>96</v>
      </c>
      <c r="C38" s="39" t="s">
        <v>37</v>
      </c>
      <c r="D38" s="23">
        <v>81</v>
      </c>
      <c r="E38" s="6"/>
      <c r="F38" s="6"/>
      <c r="G38" s="6"/>
      <c r="H38" s="6"/>
      <c r="I38" s="6"/>
      <c r="J38" s="7">
        <f>(D38*D$62)+(E38*E$62)+(F38*F$62)+(G38*G$62)+(H38*H$62)+(I38*I$62)</f>
        <v>405</v>
      </c>
      <c r="K38" s="5">
        <f>IF(D38&gt;=100, 250, IF(D38&gt;=50, 150, IF(D38&gt;=30, 50, "")))</f>
        <v>150</v>
      </c>
      <c r="L38" s="23" t="str">
        <f>IF(E38=5, 200, IF(E38=3, 150, IF(E38=2, 50, "")))</f>
        <v/>
      </c>
      <c r="M38" s="23" t="str">
        <f>IF(H38=3,100,IF(H38=5,200,""))</f>
        <v/>
      </c>
      <c r="N38" s="23"/>
      <c r="O38" s="23">
        <v>150</v>
      </c>
      <c r="P38" s="6"/>
      <c r="Q38" s="6"/>
      <c r="R38" s="24">
        <f>SUM(K38:Q38)</f>
        <v>300</v>
      </c>
      <c r="T38" s="33">
        <f>(R38+J38)*2</f>
        <v>1410</v>
      </c>
      <c r="V38" s="28">
        <v>7</v>
      </c>
      <c r="W38" s="29"/>
      <c r="X38" s="28"/>
      <c r="Y38" s="28"/>
      <c r="Z38" s="28"/>
      <c r="AA38" s="28"/>
      <c r="AE38" s="28" t="s">
        <v>97</v>
      </c>
      <c r="AF38" s="28">
        <f>T49</f>
        <v>375</v>
      </c>
    </row>
    <row r="39" spans="2:32" x14ac:dyDescent="0.3">
      <c r="B39" s="67"/>
      <c r="C39" s="19" t="s">
        <v>25</v>
      </c>
      <c r="D39" s="20">
        <v>61</v>
      </c>
      <c r="E39" s="1"/>
      <c r="F39" s="1"/>
      <c r="G39" s="1"/>
      <c r="H39" s="1"/>
      <c r="I39" s="1"/>
      <c r="J39" s="19">
        <f>(D39*D$62)+(E39*E$62)+(F39*F$62)+(G39*G$62)+(H39*H$62)+(I39*I$62)</f>
        <v>305</v>
      </c>
      <c r="K39" s="43">
        <f>IF(D39&gt;=100, 250, IF(D39&gt;=50, 150, IF(D39&gt;=30, 50, "")))</f>
        <v>150</v>
      </c>
      <c r="L39" s="20" t="str">
        <f>IF(E39=5, 200, IF(E39=3, 150, IF(E39=2, 50, "")))</f>
        <v/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150</v>
      </c>
      <c r="T39" s="14">
        <f>R39+J39</f>
        <v>455</v>
      </c>
      <c r="V39" s="28">
        <v>8</v>
      </c>
      <c r="W39" s="29"/>
      <c r="X39" s="28"/>
      <c r="Y39" s="28"/>
      <c r="Z39" s="28"/>
      <c r="AA39" s="28"/>
      <c r="AE39" s="28" t="s">
        <v>98</v>
      </c>
      <c r="AF39" s="28">
        <f>T55</f>
        <v>1025</v>
      </c>
    </row>
    <row r="40" spans="2:32" x14ac:dyDescent="0.3">
      <c r="B40" s="67"/>
      <c r="C40" s="19" t="s">
        <v>64</v>
      </c>
      <c r="D40" s="20">
        <v>7</v>
      </c>
      <c r="E40" s="1">
        <v>1</v>
      </c>
      <c r="F40" s="1"/>
      <c r="G40" s="1"/>
      <c r="H40" s="1"/>
      <c r="I40" s="1"/>
      <c r="J40" s="19">
        <f>(D40*D$62)+(E40*E$62)+(F40*F$62)+(G40*G$62)+(H40*H$62)+(I40*I$62)</f>
        <v>135</v>
      </c>
      <c r="K40" s="43" t="str">
        <f>IF(D40&gt;=100, 250, IF(D40&gt;=50, 150, IF(D40&gt;=30, 50, "")))</f>
        <v/>
      </c>
      <c r="L40" s="20" t="str">
        <f>IF(E40=5, 200, IF(E40=3, 150, IF(E40=2, 50, "")))</f>
        <v/>
      </c>
      <c r="M40" s="20" t="str">
        <f>IF(H40=3,100,IF(H40=5,200,""))</f>
        <v/>
      </c>
      <c r="N40" s="20"/>
      <c r="O40" s="20"/>
      <c r="P40" s="1"/>
      <c r="Q40" s="1"/>
      <c r="R40" s="17">
        <f>SUM(K40:Q40)</f>
        <v>0</v>
      </c>
      <c r="T40" s="14">
        <f>R40+J40</f>
        <v>135</v>
      </c>
      <c r="V40" s="28"/>
      <c r="W40" s="29"/>
      <c r="X40" s="28"/>
      <c r="Y40" s="28"/>
      <c r="Z40" s="28"/>
      <c r="AA40" s="28"/>
    </row>
    <row r="41" spans="2:32" x14ac:dyDescent="0.3">
      <c r="B41" s="67"/>
      <c r="C41" s="19" t="s">
        <v>244</v>
      </c>
      <c r="D41" s="20"/>
      <c r="E41" s="1"/>
      <c r="F41" s="1"/>
      <c r="G41" s="1"/>
      <c r="H41" s="1"/>
      <c r="I41" s="1"/>
      <c r="J41" s="19">
        <f>(D41*D$62)+(E41*E$62)+(F41*F$62)+(G41*G$62)+(H41*H$62)+(I41*I$62)</f>
        <v>0</v>
      </c>
      <c r="K41" s="43" t="str">
        <f>IF(D41&gt;=100, 250, IF(D41&gt;=50, 150, IF(D41&gt;=30, 50, "")))</f>
        <v/>
      </c>
      <c r="L41" s="20"/>
      <c r="M41" s="20" t="str">
        <f>IF(H41=3,100,IF(H41=5,200,""))</f>
        <v/>
      </c>
      <c r="N41" s="20"/>
      <c r="O41" s="20"/>
      <c r="P41" s="1"/>
      <c r="Q41" s="1"/>
      <c r="R41" s="17">
        <f>SUM(K41:Q41)</f>
        <v>0</v>
      </c>
      <c r="T41" s="14">
        <f>R41+J41</f>
        <v>0</v>
      </c>
      <c r="V41" s="28"/>
      <c r="W41" s="29"/>
      <c r="X41" s="28"/>
      <c r="Y41" s="28"/>
      <c r="Z41" s="28"/>
      <c r="AA41" s="28"/>
    </row>
    <row r="42" spans="2:32" ht="15" thickBot="1" x14ac:dyDescent="0.35">
      <c r="B42" s="68"/>
      <c r="C42" s="11" t="s">
        <v>213</v>
      </c>
      <c r="D42" s="12"/>
      <c r="E42" s="10"/>
      <c r="F42" s="10"/>
      <c r="G42" s="10"/>
      <c r="H42" s="10"/>
      <c r="I42" s="10"/>
      <c r="J42" s="11">
        <f>(D42*D$62)+(E42*E$62)+(F42*F$62)+(G42*G$62)+(H42*H$62)+(I42*I$62)</f>
        <v>0</v>
      </c>
      <c r="K42" s="9" t="str">
        <f>IF(D42&gt;=100, 250, IF(D42&gt;=50, 150, IF(D42&gt;=30, 50, "")))</f>
        <v/>
      </c>
      <c r="L42" s="12" t="str">
        <f>IF(E42=5, 200, IF(E42=3, 150, IF(E42=2, 50, "")))</f>
        <v/>
      </c>
      <c r="M42" s="12" t="str">
        <f>IF(H42=3,100,IF(H42=5,200,""))</f>
        <v/>
      </c>
      <c r="N42" s="12"/>
      <c r="O42" s="12"/>
      <c r="P42" s="10"/>
      <c r="Q42" s="10"/>
      <c r="R42" s="13">
        <f>SUM(K42:Q42)</f>
        <v>0</v>
      </c>
      <c r="T42" s="34">
        <f>R42+J42</f>
        <v>0</v>
      </c>
      <c r="V42" s="28"/>
      <c r="W42" s="29"/>
      <c r="X42" s="28"/>
      <c r="Y42" s="28"/>
      <c r="Z42" s="28"/>
      <c r="AA42" s="28"/>
    </row>
    <row r="43" spans="2:32" ht="15" thickBot="1" x14ac:dyDescent="0.35">
      <c r="T43" s="37">
        <f>SUM(T38:T42)</f>
        <v>2000</v>
      </c>
      <c r="V43" s="28"/>
      <c r="W43" s="29"/>
      <c r="X43" s="28"/>
      <c r="Y43" s="28"/>
      <c r="Z43" s="28"/>
      <c r="AA43" s="28"/>
    </row>
    <row r="44" spans="2:32" x14ac:dyDescent="0.3">
      <c r="B44" s="66" t="s">
        <v>97</v>
      </c>
      <c r="C44" s="39" t="s">
        <v>38</v>
      </c>
      <c r="D44" s="23"/>
      <c r="E44" s="6"/>
      <c r="F44" s="6"/>
      <c r="G44" s="6"/>
      <c r="H44" s="6">
        <v>1</v>
      </c>
      <c r="I44" s="6"/>
      <c r="J44" s="7">
        <f>(D44*D$62)+(E44*E$62)+(F44*F$62)+(G44*G$62)+(H44*H$62)+(I44*I$62)</f>
        <v>50</v>
      </c>
      <c r="K44" s="5" t="str">
        <f>IF(D44&gt;=100, 250, IF(D44&gt;=50, 150, IF(D44&gt;=30, 50, "")))</f>
        <v/>
      </c>
      <c r="L44" s="23" t="str">
        <f>IF(E44=5, 200, IF(E44=3, 150, IF(E44=2, 50, "")))</f>
        <v/>
      </c>
      <c r="M44" s="23" t="str">
        <f>IF(H44=3,100,IF(H44=5,200,""))</f>
        <v/>
      </c>
      <c r="N44" s="23"/>
      <c r="O44" s="23"/>
      <c r="P44" s="6"/>
      <c r="Q44" s="6"/>
      <c r="R44" s="24">
        <f>SUM(K44:Q44)</f>
        <v>0</v>
      </c>
      <c r="T44" s="33">
        <f>(R44+J44)*2</f>
        <v>100</v>
      </c>
      <c r="V44" s="28"/>
      <c r="W44" s="29"/>
      <c r="X44" s="28"/>
      <c r="Y44" s="28"/>
      <c r="Z44" s="28"/>
      <c r="AA44" s="28"/>
    </row>
    <row r="45" spans="2:32" x14ac:dyDescent="0.3">
      <c r="B45" s="67"/>
      <c r="C45" s="19" t="s">
        <v>245</v>
      </c>
      <c r="D45" s="20">
        <v>15</v>
      </c>
      <c r="E45" s="1"/>
      <c r="F45" s="1"/>
      <c r="G45" s="1"/>
      <c r="H45" s="1"/>
      <c r="I45" s="1"/>
      <c r="J45" s="19">
        <f>(D45*D$62)+(E45*E$62)+(F45*F$62)+(G45*G$62)+(H45*H$62)+(I45*I$62)</f>
        <v>75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75</v>
      </c>
      <c r="V45" s="28"/>
      <c r="W45" s="29"/>
      <c r="X45" s="28"/>
      <c r="Y45" s="28"/>
      <c r="Z45" s="28"/>
      <c r="AA45" s="28"/>
    </row>
    <row r="46" spans="2:32" x14ac:dyDescent="0.3">
      <c r="B46" s="67"/>
      <c r="C46" s="19" t="s">
        <v>194</v>
      </c>
      <c r="D46" s="20"/>
      <c r="E46" s="1">
        <v>1</v>
      </c>
      <c r="F46" s="1"/>
      <c r="G46" s="1"/>
      <c r="H46" s="1"/>
      <c r="I46" s="1"/>
      <c r="J46" s="19">
        <f>(D46*D$62)+(E46*E$62)+(F46*F$62)+(G46*G$62)+(H46*H$62)+(I46*I$62)</f>
        <v>100</v>
      </c>
      <c r="K46" s="43" t="str">
        <f>IF(D46&gt;=100, 250, IF(D46&gt;=50, 150, IF(D46&gt;=30, 50, "")))</f>
        <v/>
      </c>
      <c r="L46" s="20" t="str">
        <f>IF(E46=5, 250, IF(E46=3, 150, IF(E46=2, 50, "")))</f>
        <v/>
      </c>
      <c r="M46" s="20" t="str">
        <f>IF(H46=3,100,IF(H46=5,200,""))</f>
        <v/>
      </c>
      <c r="N46" s="20"/>
      <c r="O46" s="20"/>
      <c r="P46" s="1"/>
      <c r="Q46" s="1"/>
      <c r="R46" s="17">
        <f>SUM(K46:Q46)</f>
        <v>0</v>
      </c>
      <c r="T46" s="14">
        <f>R46+J46</f>
        <v>100</v>
      </c>
      <c r="V46" s="28"/>
      <c r="W46" s="29"/>
      <c r="X46" s="28"/>
      <c r="Y46" s="28"/>
      <c r="Z46" s="28"/>
      <c r="AA46" s="28"/>
    </row>
    <row r="47" spans="2:32" x14ac:dyDescent="0.3">
      <c r="B47" s="67"/>
      <c r="C47" s="19" t="s">
        <v>74</v>
      </c>
      <c r="D47" s="20"/>
      <c r="E47" s="1"/>
      <c r="F47" s="1"/>
      <c r="G47" s="1"/>
      <c r="H47" s="1"/>
      <c r="I47" s="1"/>
      <c r="J47" s="19">
        <f>(D47*D$62)+(E47*E$62)+(F47*F$62)+(G47*G$62)+(H47*H$62)+(I47*I$62)</f>
        <v>0</v>
      </c>
      <c r="K47" s="43" t="str">
        <f>IF(D47&gt;=100, 250, IF(D47&gt;=50, 150, IF(D47&gt;=30, 50, "")))</f>
        <v/>
      </c>
      <c r="L47" s="20" t="str">
        <f>IF(E47=5, 200, IF(E47=3, 150, IF(E47=2, 50, "")))</f>
        <v/>
      </c>
      <c r="M47" s="20" t="str">
        <f>IF(H47=3,100,IF(H47=5,200,""))</f>
        <v/>
      </c>
      <c r="N47" s="20"/>
      <c r="O47" s="20"/>
      <c r="P47" s="1"/>
      <c r="Q47" s="1"/>
      <c r="R47" s="17">
        <f>SUM(K47:Q47)</f>
        <v>0</v>
      </c>
      <c r="T47" s="14">
        <f>R47+J47</f>
        <v>0</v>
      </c>
      <c r="V47" s="28"/>
      <c r="W47" s="29"/>
      <c r="X47" s="28"/>
      <c r="Y47" s="28"/>
      <c r="Z47" s="28"/>
      <c r="AA47" s="28"/>
    </row>
    <row r="48" spans="2:32" ht="15" thickBot="1" x14ac:dyDescent="0.35">
      <c r="B48" s="68"/>
      <c r="C48" s="11" t="s">
        <v>54</v>
      </c>
      <c r="D48" s="12"/>
      <c r="E48" s="10">
        <v>1</v>
      </c>
      <c r="F48" s="10"/>
      <c r="G48" s="10"/>
      <c r="H48" s="10"/>
      <c r="I48" s="10"/>
      <c r="J48" s="11">
        <f>(D48*D$62)+(E48*E$62)+(F48*F$62)+(G48*G$62)+(H48*H$62)+(I48*I$62)</f>
        <v>100</v>
      </c>
      <c r="K48" s="9" t="str">
        <f>IF(D48&gt;=100, 250, IF(D48&gt;=50, 150, IF(D48&gt;=30, 50, "")))</f>
        <v/>
      </c>
      <c r="L48" s="12"/>
      <c r="M48" s="12" t="str">
        <f>IF(H48=3,100,IF(H48=5,200,""))</f>
        <v/>
      </c>
      <c r="N48" s="12"/>
      <c r="O48" s="12"/>
      <c r="P48" s="10"/>
      <c r="Q48" s="10"/>
      <c r="R48" s="13">
        <f>SUM(K48:Q48)</f>
        <v>0</v>
      </c>
      <c r="T48" s="34">
        <f>R48+J48</f>
        <v>100</v>
      </c>
      <c r="V48" s="28"/>
      <c r="W48" s="29"/>
      <c r="X48" s="28"/>
      <c r="Y48" s="28"/>
      <c r="Z48" s="28"/>
      <c r="AA48" s="28"/>
    </row>
    <row r="49" spans="2:27" ht="15" thickBot="1" x14ac:dyDescent="0.35">
      <c r="T49" s="37">
        <f>SUM(T44:T48)</f>
        <v>375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49</v>
      </c>
      <c r="D50" s="23">
        <v>30</v>
      </c>
      <c r="E50" s="6"/>
      <c r="F50" s="6"/>
      <c r="G50" s="6"/>
      <c r="H50" s="6"/>
      <c r="I50" s="6"/>
      <c r="J50" s="7">
        <f>(D50*D$62)+(E50*E$62)+(F50*F$62)+(G50*G$62)+(H50*H$62)+(I50*I$62)</f>
        <v>150</v>
      </c>
      <c r="K50" s="5">
        <f>IF(D50&gt;=100, 250, IF(D50&gt;=50, 150, IF(D50&gt;=30, 50, "")))</f>
        <v>50</v>
      </c>
      <c r="L50" s="23" t="str">
        <f>IF(E50=5, 200, IF(E50=3, 150, IF(E50=2, 50, "")))</f>
        <v/>
      </c>
      <c r="M50" s="23" t="str">
        <f>IF(H50=3,100,IF(H50=5,200,""))</f>
        <v/>
      </c>
      <c r="N50" s="23"/>
      <c r="O50" s="23"/>
      <c r="P50" s="6"/>
      <c r="Q50" s="6"/>
      <c r="R50" s="24">
        <f>SUM(K50:Q50)</f>
        <v>50</v>
      </c>
      <c r="T50" s="33">
        <f>(R50+J50)*2</f>
        <v>400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185</v>
      </c>
      <c r="D51" s="20">
        <v>45</v>
      </c>
      <c r="E51" s="1"/>
      <c r="F51" s="1"/>
      <c r="G51" s="1"/>
      <c r="H51" s="1"/>
      <c r="I51" s="1"/>
      <c r="J51" s="19">
        <f>(D51*D$62)+(E51*E$62)+(F51*F$62)+(G51*G$62)+(H51*H$62)+(I51*I$62)</f>
        <v>225</v>
      </c>
      <c r="K51" s="43">
        <f>IF(D51&gt;=100, 250, IF(D51&gt;=50, 150, IF(D51&gt;=30, 50, "")))</f>
        <v>50</v>
      </c>
      <c r="L51" s="20" t="str">
        <f t="shared" ref="L51:L53" si="1">IF(E51=5, 200, IF(E51=3, 150, IF(E51=2, 50, "")))</f>
        <v/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50</v>
      </c>
      <c r="T51" s="14">
        <f>R51+J51</f>
        <v>275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145</v>
      </c>
      <c r="D52" s="20"/>
      <c r="E52" s="1"/>
      <c r="F52" s="1"/>
      <c r="G52" s="1"/>
      <c r="H52" s="1"/>
      <c r="I52" s="1"/>
      <c r="J52" s="19">
        <f>(D52*D$62)+(E52*E$62)+(F52*F$62)+(G52*G$62)+(H52*H$62)+(I52*I$62)</f>
        <v>0</v>
      </c>
      <c r="K52" s="43" t="str">
        <f>IF(D52&gt;=100, 250, IF(D52&gt;=50, 150, IF(D52&gt;=30, 50, "")))</f>
        <v/>
      </c>
      <c r="L52" s="20" t="str">
        <f t="shared" si="1"/>
        <v/>
      </c>
      <c r="M52" s="20" t="str">
        <f>IF(H52=3,100,IF(H52=5,200,""))</f>
        <v/>
      </c>
      <c r="N52" s="20"/>
      <c r="O52" s="20"/>
      <c r="P52" s="1"/>
      <c r="Q52" s="1"/>
      <c r="R52" s="17">
        <f>SUM(K52:Q52)</f>
        <v>0</v>
      </c>
      <c r="T52" s="14">
        <f>R52+J52</f>
        <v>0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117</v>
      </c>
      <c r="D53" s="20"/>
      <c r="E53" s="1">
        <v>2</v>
      </c>
      <c r="F53" s="1"/>
      <c r="G53" s="1"/>
      <c r="H53" s="1"/>
      <c r="I53" s="1"/>
      <c r="J53" s="19">
        <f>(D53*D$62)+(E53*E$62)+(F53*F$62)+(G53*G$62)+(H53*H$62)+(I53*I$62)</f>
        <v>200</v>
      </c>
      <c r="K53" s="43" t="str">
        <f>IF(D53&gt;=100, 250, IF(D53&gt;=50, 150, IF(D53&gt;=30, 50, "")))</f>
        <v/>
      </c>
      <c r="L53" s="20">
        <f t="shared" si="1"/>
        <v>50</v>
      </c>
      <c r="M53" s="20" t="str">
        <f>IF(H53=3,100,IF(H53=5,200,""))</f>
        <v/>
      </c>
      <c r="N53" s="20"/>
      <c r="O53" s="20"/>
      <c r="P53" s="1"/>
      <c r="Q53" s="1"/>
      <c r="R53" s="17">
        <f>SUM(K53:Q53)</f>
        <v>50</v>
      </c>
      <c r="T53" s="14">
        <f>R53+J53</f>
        <v>250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148</v>
      </c>
      <c r="D54" s="12"/>
      <c r="E54" s="10">
        <v>1</v>
      </c>
      <c r="F54" s="10"/>
      <c r="G54" s="10"/>
      <c r="H54" s="10"/>
      <c r="I54" s="10"/>
      <c r="J54" s="11">
        <f>(D54*D$62)+(E54*E$62)+(F54*F$62)+(G54*G$62)+(H54*H$62)+(I54*I$62)</f>
        <v>100</v>
      </c>
      <c r="K54" s="9" t="str">
        <f>IF(D54&gt;=100, 250, IF(D54&gt;=50, 150, IF(D54&gt;=30, 50, "")))</f>
        <v/>
      </c>
      <c r="L54" s="12" t="str">
        <f>IF(E54=5, 200, IF(E54=3, 150, IF(E54=2, 50, "")))</f>
        <v/>
      </c>
      <c r="M54" s="12" t="str">
        <f>IF(H54=3,100,IF(H54=5,200,""))</f>
        <v/>
      </c>
      <c r="N54" s="12"/>
      <c r="O54" s="12"/>
      <c r="P54" s="10"/>
      <c r="Q54" s="10"/>
      <c r="R54" s="13">
        <f>SUM(K54:Q54)</f>
        <v>0</v>
      </c>
      <c r="T54" s="34">
        <f>R54+J54</f>
        <v>100</v>
      </c>
      <c r="V54" s="28"/>
      <c r="W54" s="29"/>
      <c r="X54" s="28"/>
      <c r="Y54" s="28"/>
      <c r="Z54" s="28"/>
      <c r="AA54" s="28"/>
    </row>
    <row r="55" spans="2:27" ht="15" thickBot="1" x14ac:dyDescent="0.35">
      <c r="T55" s="37">
        <f>SUM(T50:T54)</f>
        <v>1025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13105</v>
      </c>
      <c r="Y63" s="42">
        <f>SUM(Y64:Y71)</f>
        <v>-5025</v>
      </c>
      <c r="Z63" s="42">
        <f>SUM(Z64:Z71)</f>
        <v>-5480</v>
      </c>
      <c r="AA63" s="42">
        <f>SUM(AA64:AA71)</f>
        <v>-2600</v>
      </c>
    </row>
    <row r="64" spans="2:27" x14ac:dyDescent="0.3">
      <c r="B64" s="66" t="s">
        <v>211</v>
      </c>
      <c r="C64" s="38" t="s">
        <v>248</v>
      </c>
      <c r="D64" s="5">
        <v>69</v>
      </c>
      <c r="E64" s="6"/>
      <c r="F64" s="6"/>
      <c r="G64" s="6"/>
      <c r="H64" s="6">
        <v>1</v>
      </c>
      <c r="I64" s="6"/>
      <c r="J64" s="7">
        <f>(D64*D$62)+(E64*E$62)+(F64*F$62)+(G64*G$62)+(H64*H$62)+(I64*I$62)</f>
        <v>395</v>
      </c>
      <c r="K64" s="15">
        <f>IF(D64&gt;=100, 250, IF(D64&gt;=50, 150, IF(D64&gt;=30, 50, "")))</f>
        <v>150</v>
      </c>
      <c r="L64" s="15" t="str">
        <f>IF(E64=5, 200, IF(E64=3, 150, IF(E64=2, 50, "")))</f>
        <v/>
      </c>
      <c r="M64" s="15" t="str">
        <f>IF(H64=3,100,IF(H64=5,200,""))</f>
        <v/>
      </c>
      <c r="N64" s="15"/>
      <c r="O64" s="15"/>
      <c r="P64" s="16"/>
      <c r="Q64" s="16"/>
      <c r="R64" s="17">
        <f>SUM(K64:Q64)</f>
        <v>150</v>
      </c>
      <c r="T64" s="14">
        <f>(R64+J64)*2</f>
        <v>1090</v>
      </c>
      <c r="V64" s="28">
        <v>1</v>
      </c>
      <c r="W64" s="29">
        <v>45752</v>
      </c>
      <c r="X64" s="28">
        <v>3045</v>
      </c>
      <c r="Y64" s="28">
        <v>-1065</v>
      </c>
      <c r="Z64" s="28">
        <v>-1060</v>
      </c>
      <c r="AA64" s="28">
        <v>-920</v>
      </c>
    </row>
    <row r="65" spans="2:27" x14ac:dyDescent="0.3">
      <c r="B65" s="67"/>
      <c r="C65" s="4" t="s">
        <v>249</v>
      </c>
      <c r="D65" s="18">
        <v>1</v>
      </c>
      <c r="E65" s="1">
        <v>1</v>
      </c>
      <c r="F65" s="1"/>
      <c r="G65" s="1"/>
      <c r="H65" s="1"/>
      <c r="I65" s="1"/>
      <c r="J65" s="19">
        <f>(D65*D$62)+(E65*E$62)+(F65*F$62)+(G65*G$62)+(H65*H$62)+(I65*I$62)</f>
        <v>105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105</v>
      </c>
      <c r="V65" s="28">
        <v>2</v>
      </c>
      <c r="W65" s="29">
        <v>45752</v>
      </c>
      <c r="X65" s="45">
        <v>-620</v>
      </c>
      <c r="Y65" s="45">
        <v>-785</v>
      </c>
      <c r="Z65" s="45">
        <v>-430</v>
      </c>
      <c r="AA65" s="45">
        <v>1835</v>
      </c>
    </row>
    <row r="66" spans="2:27" x14ac:dyDescent="0.3">
      <c r="B66" s="67"/>
      <c r="C66" s="4" t="s">
        <v>66</v>
      </c>
      <c r="D66" s="18">
        <v>42</v>
      </c>
      <c r="E66" s="1"/>
      <c r="F66" s="1"/>
      <c r="G66" s="1"/>
      <c r="H66" s="1"/>
      <c r="I66" s="1"/>
      <c r="J66" s="19">
        <f>(D66*D$62)+(E66*E$62)+(F66*F$62)+(G66*G$62)+(H66*H$62)+(I66*I$62)</f>
        <v>210</v>
      </c>
      <c r="K66" s="15">
        <f>IF(D66&gt;=100, 250, IF(D66&gt;=50, 150, IF(D66&gt;=30, 50, "")))</f>
        <v>50</v>
      </c>
      <c r="L66" s="20" t="str">
        <f>IF(E66=5, 200, IF(E66=3, 150, IF(E66=2, 50, "")))</f>
        <v/>
      </c>
      <c r="M66" s="20" t="str">
        <f>IF(H66=3,100,IF(H66=5,200,""))</f>
        <v/>
      </c>
      <c r="N66" s="20"/>
      <c r="O66" s="20"/>
      <c r="P66" s="1"/>
      <c r="Q66" s="1"/>
      <c r="R66" s="17">
        <f>SUM(K66:Q66)</f>
        <v>50</v>
      </c>
      <c r="T66" s="14">
        <f>R66+J66</f>
        <v>260</v>
      </c>
      <c r="V66" s="28">
        <v>3</v>
      </c>
      <c r="W66" s="44">
        <v>45753</v>
      </c>
      <c r="X66" s="28">
        <v>2060</v>
      </c>
      <c r="Y66" s="28">
        <v>-650</v>
      </c>
      <c r="Z66" s="28">
        <v>-775</v>
      </c>
      <c r="AA66" s="28">
        <v>-635</v>
      </c>
    </row>
    <row r="67" spans="2:27" x14ac:dyDescent="0.3">
      <c r="B67" s="67"/>
      <c r="C67" s="4" t="s">
        <v>250</v>
      </c>
      <c r="D67" s="18">
        <v>34</v>
      </c>
      <c r="E67" s="1"/>
      <c r="F67" s="1"/>
      <c r="G67" s="1"/>
      <c r="H67" s="1"/>
      <c r="I67" s="1"/>
      <c r="J67" s="19">
        <f>(D67*D$62)+(E67*E$62)+(F67*F$62)+(G67*G$62)+(H67*H$62)+(I67*I$62)</f>
        <v>170</v>
      </c>
      <c r="K67" s="15">
        <f>IF(D67&gt;=100, 250, IF(D67&gt;=50, 150, IF(D67&gt;=30, 50, "")))</f>
        <v>50</v>
      </c>
      <c r="L67" s="20" t="str">
        <f>IF(E67=5, 200, IF(E67=3, 150, IF(E67=2, 50, "")))</f>
        <v/>
      </c>
      <c r="M67" s="20" t="str">
        <f>IF(H67=3,100,IF(H67=5,200,""))</f>
        <v/>
      </c>
      <c r="N67" s="20"/>
      <c r="O67" s="20"/>
      <c r="P67" s="1"/>
      <c r="Q67" s="1"/>
      <c r="R67" s="17">
        <f>SUM(K67:Q67)</f>
        <v>50</v>
      </c>
      <c r="T67" s="14">
        <f>R67+J67</f>
        <v>220</v>
      </c>
      <c r="V67" s="28">
        <v>4</v>
      </c>
      <c r="W67" s="44">
        <v>45754</v>
      </c>
      <c r="X67" s="28">
        <v>330</v>
      </c>
      <c r="Y67" s="28">
        <v>-330</v>
      </c>
      <c r="Z67" s="28">
        <v>330</v>
      </c>
      <c r="AA67" s="28">
        <v>-330</v>
      </c>
    </row>
    <row r="68" spans="2:27" ht="15" thickBot="1" x14ac:dyDescent="0.35">
      <c r="B68" s="68"/>
      <c r="C68" s="21" t="s">
        <v>68</v>
      </c>
      <c r="D68" s="9"/>
      <c r="E68" s="10">
        <v>2</v>
      </c>
      <c r="F68" s="10"/>
      <c r="G68" s="10"/>
      <c r="H68" s="10">
        <v>1</v>
      </c>
      <c r="I68" s="10"/>
      <c r="J68" s="11">
        <f>(D68*D$62)+(E68*E$62)+(F68*F$62)+(G68*G$62)+(H68*H$62)+(I68*I$62)</f>
        <v>250</v>
      </c>
      <c r="K68" s="12" t="str">
        <f>IF(D68&gt;=100, 250, IF(D68&gt;=50, 150, IF(D68&gt;=30, 50, "")))</f>
        <v/>
      </c>
      <c r="L68" s="12">
        <f>IF(E68=5, 200, IF(E68=3, 150, IF(E68=2, 50, "")))</f>
        <v>50</v>
      </c>
      <c r="M68" s="12" t="str">
        <f>IF(H68=3,100,IF(H68=5,200,""))</f>
        <v/>
      </c>
      <c r="N68" s="12"/>
      <c r="O68" s="12"/>
      <c r="P68" s="10"/>
      <c r="Q68" s="10"/>
      <c r="R68" s="13">
        <f>SUM(K68:Q68)</f>
        <v>50</v>
      </c>
      <c r="T68" s="22">
        <f>(R68+J68)</f>
        <v>300</v>
      </c>
      <c r="V68" s="28">
        <v>5</v>
      </c>
      <c r="W68" s="29">
        <v>45755</v>
      </c>
      <c r="X68" s="28">
        <v>4760</v>
      </c>
      <c r="Y68" s="28">
        <v>-720</v>
      </c>
      <c r="Z68" s="28">
        <v>-2345</v>
      </c>
      <c r="AA68" s="28">
        <v>-1695</v>
      </c>
    </row>
    <row r="69" spans="2:27" ht="15" thickBot="1" x14ac:dyDescent="0.35">
      <c r="T69" s="37">
        <f>SUM(T64:T68)</f>
        <v>1975</v>
      </c>
      <c r="V69" s="28">
        <v>6</v>
      </c>
      <c r="W69" s="29">
        <v>45755</v>
      </c>
      <c r="X69" s="28">
        <f>-(Y69+Z69+AA69)</f>
        <v>3530</v>
      </c>
      <c r="Y69" s="28">
        <f>T75-T69</f>
        <v>-1475</v>
      </c>
      <c r="Z69" s="28">
        <f>T81-T69</f>
        <v>-1200</v>
      </c>
      <c r="AA69" s="28">
        <f>T87-T69</f>
        <v>-855</v>
      </c>
    </row>
    <row r="70" spans="2:27" x14ac:dyDescent="0.3">
      <c r="B70" s="66" t="s">
        <v>96</v>
      </c>
      <c r="C70" s="39" t="s">
        <v>129</v>
      </c>
      <c r="D70" s="23">
        <v>9</v>
      </c>
      <c r="E70" s="6"/>
      <c r="F70" s="6"/>
      <c r="G70" s="6"/>
      <c r="H70" s="6"/>
      <c r="I70" s="6"/>
      <c r="J70" s="7">
        <f>(D70*D$62)+(E70*E$62)+(F70*F$62)+(G70*G$62)+(H70*H$62)+(I70*I$62)</f>
        <v>45</v>
      </c>
      <c r="K70" s="5" t="str">
        <f>IF(D70&gt;=100, 250, IF(D70&gt;=50, 150, IF(D70&gt;=30, 50, "")))</f>
        <v/>
      </c>
      <c r="L70" s="23" t="str">
        <f>IF(E70=5, 200, IF(E70=3, 150, IF(E70=2, 50, "")))</f>
        <v/>
      </c>
      <c r="M70" s="23" t="str">
        <f>IF(H70=3,100,IF(H70=5,200,""))</f>
        <v/>
      </c>
      <c r="N70" s="23"/>
      <c r="O70" s="23"/>
      <c r="P70" s="6"/>
      <c r="Q70" s="6"/>
      <c r="R70" s="24">
        <f>SUM(K70:Q70)</f>
        <v>0</v>
      </c>
      <c r="T70" s="33">
        <f>(R70+J70)*2</f>
        <v>90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 t="s">
        <v>134</v>
      </c>
      <c r="D71" s="20">
        <v>0</v>
      </c>
      <c r="E71" s="1"/>
      <c r="F71" s="1"/>
      <c r="G71" s="1">
        <v>1</v>
      </c>
      <c r="H71" s="1"/>
      <c r="I71" s="1">
        <v>1</v>
      </c>
      <c r="J71" s="19">
        <f>(D71*D$62)+(E71*E$62)+(F71*F$62)+(G71*G$62)+(H71*H$62)+(I71*I$62)</f>
        <v>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 t="s">
        <v>26</v>
      </c>
      <c r="D72" s="20"/>
      <c r="E72" s="1">
        <v>1</v>
      </c>
      <c r="F72" s="1"/>
      <c r="G72" s="1"/>
      <c r="H72" s="1"/>
      <c r="I72" s="1"/>
      <c r="J72" s="19">
        <f>(D72*D$62)+(E72*E$62)+(F72*F$62)+(G72*G$62)+(H72*H$62)+(I72*I$62)</f>
        <v>100</v>
      </c>
      <c r="K72" s="43" t="str">
        <f>IF(D72&gt;=100, 250, IF(D72&gt;=50, 150, IF(D72&gt;=30, 50, "")))</f>
        <v/>
      </c>
      <c r="L72" s="20" t="str">
        <f>IF(E72=5, 200, IF(E72=3, 150, IF(E72=2, 50, "")))</f>
        <v/>
      </c>
      <c r="M72" s="20" t="str">
        <f>IF(H72=3,100,IF(H72=5,200,""))</f>
        <v/>
      </c>
      <c r="N72" s="20"/>
      <c r="O72" s="20"/>
      <c r="P72" s="1"/>
      <c r="Q72" s="1"/>
      <c r="R72" s="17">
        <f>SUM(K72:Q72)</f>
        <v>0</v>
      </c>
      <c r="T72" s="14">
        <f>R72+J72</f>
        <v>100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 t="s">
        <v>77</v>
      </c>
      <c r="D73" s="20"/>
      <c r="E73" s="1">
        <v>2</v>
      </c>
      <c r="F73" s="1"/>
      <c r="G73" s="1"/>
      <c r="H73" s="1"/>
      <c r="I73" s="1"/>
      <c r="J73" s="19">
        <f>(D73*D$62)+(E73*E$62)+(F73*F$62)+(G73*G$62)+(H73*H$62)+(I73*I$62)</f>
        <v>200</v>
      </c>
      <c r="K73" s="43" t="str">
        <f>IF(D73&gt;=100, 250, IF(D73&gt;=50, 150, IF(D73&gt;=30, 50, "")))</f>
        <v/>
      </c>
      <c r="L73" s="20">
        <f>IF(E73=5, 200, IF(E73=3, 150, IF(E73=2, 50, "")))</f>
        <v>50</v>
      </c>
      <c r="M73" s="20" t="str">
        <f>IF(H73=3,100,IF(H73=5,200,""))</f>
        <v/>
      </c>
      <c r="N73" s="20"/>
      <c r="O73" s="20"/>
      <c r="P73" s="1"/>
      <c r="Q73" s="1"/>
      <c r="R73" s="17">
        <f>SUM(K73:Q73)</f>
        <v>50</v>
      </c>
      <c r="T73" s="14">
        <f>R73+J73</f>
        <v>250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 t="s">
        <v>246</v>
      </c>
      <c r="D74" s="12">
        <v>2</v>
      </c>
      <c r="E74" s="10"/>
      <c r="F74" s="10"/>
      <c r="G74" s="10"/>
      <c r="H74" s="10">
        <v>1</v>
      </c>
      <c r="I74" s="10"/>
      <c r="J74" s="11">
        <f>(D74*D$62)+(E74*E$62)+(F74*F$62)+(G74*G$62)+(H74*H$62)+(I74*I$62)</f>
        <v>60</v>
      </c>
      <c r="K74" s="9" t="str">
        <f>IF(D74&gt;=100, 250, IF(D74&gt;=50, 150, IF(D74&gt;=30, 50, "")))</f>
        <v/>
      </c>
      <c r="L74" s="12" t="str">
        <f>IF(E74=5, 200, IF(E74=3, 150, IF(E74=2, 50, "")))</f>
        <v/>
      </c>
      <c r="M74" s="12" t="str">
        <f>IF(H74=3,100,IF(H74=5,200,""))</f>
        <v/>
      </c>
      <c r="N74" s="12"/>
      <c r="O74" s="12"/>
      <c r="P74" s="10"/>
      <c r="Q74" s="10"/>
      <c r="R74" s="13">
        <f>SUM(K74:Q74)</f>
        <v>0</v>
      </c>
      <c r="T74" s="34">
        <f>R74+J74</f>
        <v>60</v>
      </c>
      <c r="V74" s="28"/>
      <c r="W74" s="29"/>
      <c r="X74" s="28"/>
      <c r="Y74" s="28"/>
      <c r="Z74" s="28"/>
      <c r="AA74" s="28"/>
    </row>
    <row r="75" spans="2:27" ht="15" thickBot="1" x14ac:dyDescent="0.35">
      <c r="T75" s="37">
        <f>SUM(T70:T74)</f>
        <v>500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 t="s">
        <v>36</v>
      </c>
      <c r="D76" s="23">
        <v>36</v>
      </c>
      <c r="E76" s="6"/>
      <c r="F76" s="6"/>
      <c r="G76" s="6"/>
      <c r="H76" s="6"/>
      <c r="I76" s="6"/>
      <c r="J76" s="7">
        <f>(D76*D$62)+(E76*E$62)+(F76*F$62)+(G76*G$62)+(H76*H$62)+(I76*I$62)</f>
        <v>180</v>
      </c>
      <c r="K76" s="5">
        <f>IF(D76&gt;=100, 250, IF(D76&gt;=50, 150, IF(D76&gt;=30, 50, "")))</f>
        <v>50</v>
      </c>
      <c r="L76" s="23" t="str">
        <f>IF(E76=5, 200, IF(E76=3, 150, IF(E76=2, 50, "")))</f>
        <v/>
      </c>
      <c r="M76" s="23" t="str">
        <f>IF(H76=3,100,IF(H76=5,200,""))</f>
        <v/>
      </c>
      <c r="N76" s="23"/>
      <c r="O76" s="23"/>
      <c r="P76" s="6"/>
      <c r="Q76" s="6"/>
      <c r="R76" s="24">
        <f>SUM(K76:Q76)</f>
        <v>50</v>
      </c>
      <c r="T76" s="33">
        <f>(R76+J76)*2</f>
        <v>460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126</v>
      </c>
      <c r="D77" s="20">
        <v>4</v>
      </c>
      <c r="E77" s="1"/>
      <c r="F77" s="1"/>
      <c r="G77" s="1"/>
      <c r="H77" s="1"/>
      <c r="I77" s="1"/>
      <c r="J77" s="19">
        <f>(D77*D$62)+(E77*E$62)+(F77*F$62)+(G77*G$62)+(H77*H$62)+(I77*I$62)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 t="s">
        <v>181</v>
      </c>
      <c r="D78" s="20"/>
      <c r="E78" s="1"/>
      <c r="F78" s="1"/>
      <c r="G78" s="1"/>
      <c r="H78" s="1"/>
      <c r="I78" s="1"/>
      <c r="J78" s="19">
        <f>(D78*D$62)+(E78*E$62)+(F78*F$62)+(G78*G$62)+(H78*H$62)+(I78*I$62)</f>
        <v>0</v>
      </c>
      <c r="K78" s="43" t="str">
        <f>IF(D78&gt;=100, 250, IF(D78&gt;=50, 150, IF(D78&gt;=30, 50, "")))</f>
        <v/>
      </c>
      <c r="L78" s="20" t="str">
        <f>IF(E78=5, 200, IF(E78=3, 150, IF(E78=2, 50, "")))</f>
        <v/>
      </c>
      <c r="M78" s="20" t="str">
        <f>IF(H78=3,100,IF(H78=5,200,""))</f>
        <v/>
      </c>
      <c r="N78" s="20"/>
      <c r="O78" s="20"/>
      <c r="P78" s="1"/>
      <c r="Q78" s="1"/>
      <c r="R78" s="17">
        <f>SUM(K78:Q78)</f>
        <v>0</v>
      </c>
      <c r="T78" s="14">
        <f>R78+J78</f>
        <v>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 t="s">
        <v>191</v>
      </c>
      <c r="D79" s="20"/>
      <c r="E79" s="1">
        <v>2</v>
      </c>
      <c r="F79" s="1"/>
      <c r="G79" s="1"/>
      <c r="H79" s="1"/>
      <c r="I79" s="1"/>
      <c r="J79" s="19">
        <f>(D79*D$62)+(E79*E$62)+(F79*F$62)+(G79*G$62)+(H79*H$62)+(I79*I$62)</f>
        <v>200</v>
      </c>
      <c r="K79" s="43" t="str">
        <f>IF(D79&gt;=100, 250, IF(D79&gt;=50, 150, IF(D79&gt;=30, 50, "")))</f>
        <v/>
      </c>
      <c r="L79" s="20">
        <f>IF(E79=5, 200, IF(E79=3, 150, IF(E79=2, 50, "")))</f>
        <v>50</v>
      </c>
      <c r="M79" s="20" t="str">
        <f>IF(H79=3,100,IF(H79=5,200,""))</f>
        <v/>
      </c>
      <c r="N79" s="20"/>
      <c r="O79" s="20"/>
      <c r="P79" s="1"/>
      <c r="Q79" s="1"/>
      <c r="R79" s="17">
        <f>SUM(K79:Q79)</f>
        <v>50</v>
      </c>
      <c r="T79" s="14">
        <f>R79+J79</f>
        <v>250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 t="s">
        <v>59</v>
      </c>
      <c r="D80" s="12">
        <v>9</v>
      </c>
      <c r="E80" s="10"/>
      <c r="F80" s="10"/>
      <c r="G80" s="10"/>
      <c r="H80" s="10"/>
      <c r="I80" s="10"/>
      <c r="J80" s="11">
        <f>(D80*D$62)+(E80*E$62)+(F80*F$62)+(G80*G$62)+(H80*H$62)+(I80*I$62)</f>
        <v>45</v>
      </c>
      <c r="K80" s="9" t="str">
        <f>IF(D80&gt;=100, 250, IF(D80&gt;=50, 150, IF(D80&gt;=30, 50, "")))</f>
        <v/>
      </c>
      <c r="L80" s="12" t="str">
        <f>IF(E80=5, 200, IF(E80=3, 150, IF(E80=2, 50, "")))</f>
        <v/>
      </c>
      <c r="M80" s="12" t="str">
        <f>IF(H80=3,100,IF(H80=5,200,""))</f>
        <v/>
      </c>
      <c r="N80" s="12"/>
      <c r="O80" s="12"/>
      <c r="P80" s="10"/>
      <c r="Q80" s="10"/>
      <c r="R80" s="13">
        <f>SUM(K80:Q80)</f>
        <v>0</v>
      </c>
      <c r="T80" s="34">
        <f>R80+J80</f>
        <v>45</v>
      </c>
      <c r="V80" s="28"/>
      <c r="W80" s="29"/>
      <c r="X80" s="28"/>
      <c r="Y80" s="28"/>
      <c r="Z80" s="28"/>
      <c r="AA80" s="28"/>
    </row>
    <row r="81" spans="2:27" ht="15" thickBot="1" x14ac:dyDescent="0.35">
      <c r="T81" s="37">
        <f>SUM(T76:T80)</f>
        <v>775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 t="s">
        <v>222</v>
      </c>
      <c r="D82" s="23">
        <v>1</v>
      </c>
      <c r="E82" s="6"/>
      <c r="F82" s="6"/>
      <c r="G82" s="6"/>
      <c r="H82" s="6"/>
      <c r="I82" s="6"/>
      <c r="J82" s="7">
        <f>(D82*D$62)+(E82*E$62)+(F82*F$62)+(G82*G$62)+(H82*H$62)+(I82*I$62)</f>
        <v>5</v>
      </c>
      <c r="K82" s="5" t="str">
        <f>IF(D82&gt;=100, 250, IF(D82&gt;=50, 150, IF(D82&gt;=30, 50, "")))</f>
        <v/>
      </c>
      <c r="L82" s="23" t="str">
        <f>IF(E82=5, 200, IF(E82=3, 150, IF(E82=2, 50, "")))</f>
        <v/>
      </c>
      <c r="M82" s="23" t="str">
        <f>IF(H82=3,100,IF(H82=5,200,""))</f>
        <v/>
      </c>
      <c r="N82" s="23"/>
      <c r="O82" s="23"/>
      <c r="P82" s="6"/>
      <c r="Q82" s="6"/>
      <c r="R82" s="24">
        <f>SUM(K82:Q82)</f>
        <v>0</v>
      </c>
      <c r="T82" s="33">
        <f>(R82+J82)*2</f>
        <v>10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136</v>
      </c>
      <c r="D83" s="20">
        <v>103</v>
      </c>
      <c r="E83" s="1"/>
      <c r="F83" s="1"/>
      <c r="G83" s="1"/>
      <c r="H83" s="1"/>
      <c r="I83" s="1"/>
      <c r="J83" s="19">
        <f>(D83*D$62)+(E83*E$62)+(F83*F$62)+(G83*G$62)+(H83*H$62)+(I83*I$62)</f>
        <v>515</v>
      </c>
      <c r="K83" s="43">
        <f>IF(D83&gt;=100, 250, IF(D83&gt;=50, 150, IF(D83&gt;=30, 50, "")))</f>
        <v>250</v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>
        <v>150</v>
      </c>
      <c r="P83" s="1">
        <v>100</v>
      </c>
      <c r="Q83" s="1"/>
      <c r="R83" s="17">
        <f>SUM(K83:Q83)</f>
        <v>500</v>
      </c>
      <c r="T83" s="14">
        <f>R83+J83</f>
        <v>1015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 t="s">
        <v>247</v>
      </c>
      <c r="D84" s="20"/>
      <c r="E84" s="1"/>
      <c r="F84" s="1"/>
      <c r="G84" s="1"/>
      <c r="H84" s="1"/>
      <c r="I84" s="1"/>
      <c r="J84" s="19">
        <f>(D84*D$62)+(E84*E$62)+(F84*F$62)+(G84*G$62)+(H84*H$62)+(I84*I$62)</f>
        <v>0</v>
      </c>
      <c r="K84" s="43" t="str">
        <f>IF(D84&gt;=100, 250, IF(D84&gt;=50, 150, IF(D84&gt;=30, 50, "")))</f>
        <v/>
      </c>
      <c r="L84" s="20" t="str">
        <f>IF(E84=5, 200, IF(E84=3, 150, IF(E84=2, 50, "")))</f>
        <v/>
      </c>
      <c r="M84" s="20" t="str">
        <f>IF(H84=3,100,IF(H84=5,200,""))</f>
        <v/>
      </c>
      <c r="N84" s="20"/>
      <c r="O84" s="20"/>
      <c r="P84" s="1"/>
      <c r="Q84" s="1"/>
      <c r="R84" s="17">
        <f>SUM(K84:Q84)</f>
        <v>0</v>
      </c>
      <c r="T84" s="14">
        <f>R84+J84</f>
        <v>0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 t="s">
        <v>225</v>
      </c>
      <c r="D85" s="20">
        <v>9</v>
      </c>
      <c r="E85" s="1"/>
      <c r="F85" s="1"/>
      <c r="G85" s="1"/>
      <c r="H85" s="1"/>
      <c r="I85" s="1"/>
      <c r="J85" s="19">
        <f>(D85*D$62)+(E85*E$62)+(F85*F$62)+(G85*G$62)+(H85*H$62)+(I85*I$62)</f>
        <v>45</v>
      </c>
      <c r="K85" s="43" t="str">
        <f>IF(D85&gt;=100, 250, IF(D85&gt;=50, 150, IF(D85&gt;=30, 50, "")))</f>
        <v/>
      </c>
      <c r="L85" s="20" t="str">
        <f>IF(E85=5, 200, IF(E85=3, 150, IF(E85=2, 50, "")))</f>
        <v/>
      </c>
      <c r="M85" s="20" t="str">
        <f>IF(H85=3,100,IF(H85=5,200,""))</f>
        <v/>
      </c>
      <c r="N85" s="20"/>
      <c r="O85" s="20"/>
      <c r="P85" s="1"/>
      <c r="Q85" s="1"/>
      <c r="R85" s="17">
        <f>SUM(K85:Q85)</f>
        <v>0</v>
      </c>
      <c r="T85" s="14">
        <f>R85+J85</f>
        <v>45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 t="s">
        <v>127</v>
      </c>
      <c r="D86" s="12"/>
      <c r="E86" s="10"/>
      <c r="F86" s="10"/>
      <c r="G86" s="10"/>
      <c r="H86" s="10">
        <v>1</v>
      </c>
      <c r="I86" s="10"/>
      <c r="J86" s="11">
        <f>(D86*D$62)+(E86*E$62)+(F86*F$62)+(G86*G$62)+(H86*H$62)+(I86*I$62)</f>
        <v>50</v>
      </c>
      <c r="K86" s="9" t="str">
        <f>IF(D86&gt;=100, 250, IF(D86&gt;=50, 150, IF(D86&gt;=30, 50, "")))</f>
        <v/>
      </c>
      <c r="L86" s="12" t="str">
        <f>IF(E86=5, 200, IF(E86=3, 150, IF(E86=2, 50, "")))</f>
        <v/>
      </c>
      <c r="M86" s="12" t="str">
        <f>IF(H86=3,100,IF(H86=5,200,""))</f>
        <v/>
      </c>
      <c r="N86" s="12"/>
      <c r="O86" s="12"/>
      <c r="P86" s="10"/>
      <c r="Q86" s="10"/>
      <c r="R86" s="13">
        <f>SUM(K86:Q86)</f>
        <v>0</v>
      </c>
      <c r="T86" s="34">
        <f>R86+J86</f>
        <v>50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1120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AK87"/>
  <sheetViews>
    <sheetView topLeftCell="A5" zoomScale="90" zoomScaleNormal="90" workbookViewId="0">
      <selection activeCell="W38" sqref="W38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7" width="8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F3" s="47"/>
      <c r="AG3" s="47" t="s">
        <v>211</v>
      </c>
      <c r="AH3" s="48" t="s">
        <v>96</v>
      </c>
      <c r="AI3" s="48" t="s">
        <v>97</v>
      </c>
      <c r="AJ3" s="48" t="s">
        <v>98</v>
      </c>
      <c r="AK3" s="46"/>
    </row>
    <row r="4" spans="2:37" x14ac:dyDescent="0.3">
      <c r="AE4" s="46"/>
      <c r="AF4" s="49" t="s">
        <v>165</v>
      </c>
      <c r="AG4" s="49">
        <v>-4745</v>
      </c>
      <c r="AH4" s="49">
        <v>2405</v>
      </c>
      <c r="AI4" s="49">
        <v>10275</v>
      </c>
      <c r="AJ4" s="49">
        <v>-7935</v>
      </c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F5" s="49" t="s">
        <v>210</v>
      </c>
      <c r="AG5" s="49">
        <v>-5315</v>
      </c>
      <c r="AH5" s="49">
        <v>-3535</v>
      </c>
      <c r="AI5" s="49">
        <v>5950</v>
      </c>
      <c r="AJ5" s="49">
        <v>2900</v>
      </c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F6" s="49" t="s">
        <v>236</v>
      </c>
      <c r="AG6" s="49">
        <f>X31</f>
        <v>16420</v>
      </c>
      <c r="AH6" s="49">
        <f>Y31</f>
        <v>-5780</v>
      </c>
      <c r="AI6" s="49">
        <f>Z31</f>
        <v>-6415</v>
      </c>
      <c r="AJ6" s="49">
        <f>AA31</f>
        <v>-4225</v>
      </c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F7" s="46"/>
      <c r="AG7" s="46"/>
      <c r="AH7" s="46"/>
      <c r="AI7" s="46"/>
      <c r="AJ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F8" s="46"/>
      <c r="AG8" s="46"/>
      <c r="AH8" s="46"/>
      <c r="AI8" s="46"/>
      <c r="AJ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6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36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36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  <c r="AF30" s="49" t="s">
        <v>0</v>
      </c>
      <c r="AG30" s="49">
        <f>SUM(AG4:AG29)</f>
        <v>6360</v>
      </c>
      <c r="AH30" s="49">
        <f t="shared" ref="AH30:AJ30" si="0">SUM(AH4:AH29)</f>
        <v>-6910</v>
      </c>
      <c r="AI30" s="49">
        <f t="shared" si="0"/>
        <v>9810</v>
      </c>
      <c r="AJ30" s="49">
        <f t="shared" si="0"/>
        <v>-9260</v>
      </c>
    </row>
    <row r="31" spans="2:36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16420</v>
      </c>
      <c r="Y31" s="42">
        <f>SUM(Y32:Y39)</f>
        <v>-5780</v>
      </c>
      <c r="Z31" s="42">
        <f>SUM(Z32:Z39)</f>
        <v>-6415</v>
      </c>
      <c r="AA31" s="42">
        <f>SUM(AA32:AA39)</f>
        <v>-4225</v>
      </c>
    </row>
    <row r="32" spans="2:36" x14ac:dyDescent="0.3">
      <c r="B32" s="66" t="s">
        <v>211</v>
      </c>
      <c r="C32" s="38" t="s">
        <v>253</v>
      </c>
      <c r="D32" s="5">
        <v>82</v>
      </c>
      <c r="E32" s="6"/>
      <c r="F32" s="6"/>
      <c r="G32" s="6"/>
      <c r="H32" s="6">
        <v>2</v>
      </c>
      <c r="I32" s="6"/>
      <c r="J32" s="7">
        <f>(D32*D$62)+(E32*E$62)+(F32*F$62)+(G32*G$62)+(H32*H$62)+(I32*I$62)</f>
        <v>510</v>
      </c>
      <c r="K32" s="15">
        <f>IF(D32&gt;=100, 250, IF(D32&gt;=50, 150, IF(D32&gt;=30, 50, "")))</f>
        <v>150</v>
      </c>
      <c r="L32" s="15" t="str">
        <f>IF(E32=5, 200, IF(E32=3, 150, IF(E32=2, 50, "")))</f>
        <v/>
      </c>
      <c r="M32" s="15" t="str">
        <f>IF(H32=3,100,IF(H32=5,200,""))</f>
        <v/>
      </c>
      <c r="N32" s="15"/>
      <c r="O32" s="15"/>
      <c r="P32" s="16"/>
      <c r="Q32" s="16"/>
      <c r="R32" s="17">
        <f>SUM(K32:Q32)</f>
        <v>150</v>
      </c>
      <c r="T32" s="14">
        <f>(R32+J32)*2</f>
        <v>1320</v>
      </c>
      <c r="V32" s="28">
        <v>1</v>
      </c>
      <c r="W32" s="29">
        <v>45752</v>
      </c>
      <c r="X32" s="28">
        <v>3045</v>
      </c>
      <c r="Y32" s="28">
        <v>-1065</v>
      </c>
      <c r="Z32" s="28">
        <v>-1060</v>
      </c>
      <c r="AA32" s="28">
        <v>-920</v>
      </c>
    </row>
    <row r="33" spans="2:32" x14ac:dyDescent="0.3">
      <c r="B33" s="67"/>
      <c r="C33" s="4" t="s">
        <v>61</v>
      </c>
      <c r="D33" s="18">
        <v>26</v>
      </c>
      <c r="E33" s="1"/>
      <c r="F33" s="1"/>
      <c r="G33" s="1"/>
      <c r="H33" s="1"/>
      <c r="I33" s="1"/>
      <c r="J33" s="19">
        <f>(D33*D$62)+(E33*E$62)+(F33*F$62)+(G33*G$62)+(H33*H$62)+(I33*I$62)</f>
        <v>130</v>
      </c>
      <c r="K33" s="15" t="str">
        <f>IF(D33&gt;=100, 250, IF(D33&gt;=50, 150, IF(D33&gt;=30, 50, "")))</f>
        <v/>
      </c>
      <c r="L33" s="20" t="str">
        <f>IF(E33=5, 200, IF(E33=3, 150, IF(E33=2, 50, "")))</f>
        <v/>
      </c>
      <c r="M33" s="20" t="str">
        <f>IF(H33=3,100,IF(H33=5,200,""))</f>
        <v/>
      </c>
      <c r="N33" s="20"/>
      <c r="O33" s="20"/>
      <c r="P33" s="1"/>
      <c r="Q33" s="1"/>
      <c r="R33" s="17">
        <f>SUM(K33:Q33)</f>
        <v>0</v>
      </c>
      <c r="T33" s="14">
        <f>R33+J33</f>
        <v>130</v>
      </c>
      <c r="V33" s="28">
        <v>2</v>
      </c>
      <c r="W33" s="29">
        <v>45752</v>
      </c>
      <c r="X33" s="45">
        <v>-620</v>
      </c>
      <c r="Y33" s="45">
        <v>-785</v>
      </c>
      <c r="Z33" s="45">
        <v>-430</v>
      </c>
      <c r="AA33" s="45">
        <v>1835</v>
      </c>
    </row>
    <row r="34" spans="2:32" x14ac:dyDescent="0.3">
      <c r="B34" s="67"/>
      <c r="C34" s="4" t="s">
        <v>254</v>
      </c>
      <c r="D34" s="18"/>
      <c r="E34" s="1">
        <v>3</v>
      </c>
      <c r="F34" s="1"/>
      <c r="G34" s="1"/>
      <c r="H34" s="1"/>
      <c r="I34" s="1"/>
      <c r="J34" s="19">
        <f>(D34*D$62)+(E34*E$62)+(F34*F$62)+(G34*G$62)+(H34*H$62)+(I34*I$62)</f>
        <v>300</v>
      </c>
      <c r="K34" s="15" t="str">
        <f>IF(D34&gt;=100, 250, IF(D34&gt;=50, 150, IF(D34&gt;=30, 50, "")))</f>
        <v/>
      </c>
      <c r="L34" s="20">
        <f>IF(E34=5, 200, IF(E34=3, 150, IF(E34=2, 50, "")))</f>
        <v>150</v>
      </c>
      <c r="M34" s="20" t="str">
        <f>IF(H34=3,100,IF(H34=5,200,""))</f>
        <v/>
      </c>
      <c r="N34" s="20"/>
      <c r="O34" s="20"/>
      <c r="P34" s="1"/>
      <c r="Q34" s="1"/>
      <c r="R34" s="17">
        <f>SUM(K34:Q34)</f>
        <v>150</v>
      </c>
      <c r="T34" s="14">
        <f>R34+J34</f>
        <v>450</v>
      </c>
      <c r="V34" s="28">
        <v>3</v>
      </c>
      <c r="W34" s="44">
        <v>45753</v>
      </c>
      <c r="X34" s="28">
        <v>2060</v>
      </c>
      <c r="Y34" s="28">
        <v>-650</v>
      </c>
      <c r="Z34" s="28">
        <v>-775</v>
      </c>
      <c r="AA34" s="28">
        <v>-635</v>
      </c>
    </row>
    <row r="35" spans="2:32" x14ac:dyDescent="0.3">
      <c r="B35" s="67"/>
      <c r="C35" s="4" t="s">
        <v>169</v>
      </c>
      <c r="D35" s="18">
        <v>36</v>
      </c>
      <c r="E35" s="1"/>
      <c r="F35" s="1"/>
      <c r="G35" s="1"/>
      <c r="H35" s="1"/>
      <c r="I35" s="1"/>
      <c r="J35" s="19">
        <f>(D35*D$62)+(E35*E$62)+(F35*F$62)+(G35*G$62)+(H35*H$62)+(I35*I$62)</f>
        <v>180</v>
      </c>
      <c r="K35" s="15">
        <f>IF(D35&gt;=100, 250, IF(D35&gt;=50, 150, IF(D35&gt;=30, 50, "")))</f>
        <v>50</v>
      </c>
      <c r="L35" s="20" t="str">
        <f>IF(E35=5, 200, IF(E35=3, 150, IF(E35=2, 50, "")))</f>
        <v/>
      </c>
      <c r="M35" s="20" t="str">
        <f>IF(H35=3,100,IF(H35=5,200,""))</f>
        <v/>
      </c>
      <c r="N35" s="20"/>
      <c r="O35" s="20"/>
      <c r="P35" s="1"/>
      <c r="Q35" s="1"/>
      <c r="R35" s="17">
        <f>SUM(K35:Q35)</f>
        <v>50</v>
      </c>
      <c r="T35" s="14">
        <f>R35+J35</f>
        <v>230</v>
      </c>
      <c r="V35" s="28">
        <v>4</v>
      </c>
      <c r="W35" s="44">
        <v>45754</v>
      </c>
      <c r="X35" s="28">
        <v>330</v>
      </c>
      <c r="Y35" s="28">
        <v>-330</v>
      </c>
      <c r="Z35" s="28">
        <v>330</v>
      </c>
      <c r="AA35" s="28">
        <v>-330</v>
      </c>
      <c r="AE35" s="50" t="s">
        <v>5</v>
      </c>
      <c r="AF35" s="50" t="s">
        <v>235</v>
      </c>
    </row>
    <row r="36" spans="2:32" ht="15" thickBot="1" x14ac:dyDescent="0.35">
      <c r="B36" s="68"/>
      <c r="C36" s="21" t="s">
        <v>63</v>
      </c>
      <c r="D36" s="9">
        <v>6</v>
      </c>
      <c r="E36" s="10">
        <v>1</v>
      </c>
      <c r="F36" s="10"/>
      <c r="G36" s="10"/>
      <c r="H36" s="10"/>
      <c r="I36" s="10"/>
      <c r="J36" s="11">
        <f>(D36*D$62)+(E36*E$62)+(F36*F$62)+(G36*G$62)+(H36*H$62)+(I36*I$62)</f>
        <v>130</v>
      </c>
      <c r="K36" s="12" t="str">
        <f>IF(D36&gt;=100, 250, IF(D36&gt;=50, 150, IF(D36&gt;=30, 50, "")))</f>
        <v/>
      </c>
      <c r="L36" s="12" t="str">
        <f>IF(E36=5, 200, IF(E36=3, 150, IF(E36=2, 50, "")))</f>
        <v/>
      </c>
      <c r="M36" s="12" t="str">
        <f>IF(H36=3,100,IF(H36=5,200,""))</f>
        <v/>
      </c>
      <c r="N36" s="12"/>
      <c r="O36" s="12"/>
      <c r="P36" s="10"/>
      <c r="Q36" s="10"/>
      <c r="R36" s="13">
        <f>SUM(K36:Q36)</f>
        <v>0</v>
      </c>
      <c r="T36" s="22">
        <f>(R36+J36)</f>
        <v>130</v>
      </c>
      <c r="V36" s="28">
        <v>5</v>
      </c>
      <c r="W36" s="29">
        <v>45755</v>
      </c>
      <c r="X36" s="28">
        <v>4760</v>
      </c>
      <c r="Y36" s="28">
        <v>-720</v>
      </c>
      <c r="Z36" s="28">
        <v>-2345</v>
      </c>
      <c r="AA36" s="28">
        <v>-1695</v>
      </c>
      <c r="AE36" s="28" t="s">
        <v>211</v>
      </c>
      <c r="AF36" s="28">
        <f>T37</f>
        <v>2260</v>
      </c>
    </row>
    <row r="37" spans="2:32" ht="15" thickBot="1" x14ac:dyDescent="0.35">
      <c r="T37" s="37">
        <f>SUM(T32:T36)</f>
        <v>2260</v>
      </c>
      <c r="V37" s="28">
        <v>6</v>
      </c>
      <c r="W37" s="29">
        <v>45755</v>
      </c>
      <c r="X37" s="28">
        <v>3530</v>
      </c>
      <c r="Y37" s="28">
        <v>-1475</v>
      </c>
      <c r="Z37" s="28">
        <v>-1200</v>
      </c>
      <c r="AA37" s="28">
        <v>-855</v>
      </c>
      <c r="AE37" s="28" t="s">
        <v>96</v>
      </c>
      <c r="AF37" s="28">
        <f>T43</f>
        <v>1505</v>
      </c>
    </row>
    <row r="38" spans="2:32" x14ac:dyDescent="0.3">
      <c r="B38" s="66" t="s">
        <v>96</v>
      </c>
      <c r="C38" s="39" t="s">
        <v>52</v>
      </c>
      <c r="D38" s="23">
        <v>41</v>
      </c>
      <c r="E38" s="6"/>
      <c r="F38" s="6"/>
      <c r="G38" s="6">
        <v>1</v>
      </c>
      <c r="H38" s="6">
        <v>2</v>
      </c>
      <c r="I38" s="6"/>
      <c r="J38" s="7">
        <f>(D38*D$62)+(E38*E$62)+(F38*F$62)+(G38*G$62)+(H38*H$62)+(I38*I$62)</f>
        <v>355</v>
      </c>
      <c r="K38" s="5">
        <f>IF(D38&gt;=100, 250, IF(D38&gt;=50, 150, IF(D38&gt;=30, 50, "")))</f>
        <v>50</v>
      </c>
      <c r="L38" s="23" t="str">
        <f>IF(E38=5, 200, IF(E38=3, 150, IF(E38=2, 50, "")))</f>
        <v/>
      </c>
      <c r="M38" s="23" t="str">
        <f>IF(H38=3,100,IF(H38=5,200,""))</f>
        <v/>
      </c>
      <c r="N38" s="23"/>
      <c r="O38" s="23"/>
      <c r="P38" s="6"/>
      <c r="Q38" s="6"/>
      <c r="R38" s="24">
        <f>SUM(K38:Q38)</f>
        <v>50</v>
      </c>
      <c r="T38" s="33">
        <f>(R38+J38)*2</f>
        <v>810</v>
      </c>
      <c r="V38" s="28">
        <v>7</v>
      </c>
      <c r="W38" s="29">
        <v>45756</v>
      </c>
      <c r="X38" s="28">
        <v>3315</v>
      </c>
      <c r="Y38" s="28">
        <v>-755</v>
      </c>
      <c r="Z38" s="28">
        <v>-935</v>
      </c>
      <c r="AA38" s="28">
        <v>-1625</v>
      </c>
      <c r="AE38" s="28" t="s">
        <v>97</v>
      </c>
      <c r="AF38" s="28">
        <f>T49</f>
        <v>1325</v>
      </c>
    </row>
    <row r="39" spans="2:32" x14ac:dyDescent="0.3">
      <c r="B39" s="67"/>
      <c r="C39" s="19" t="s">
        <v>255</v>
      </c>
      <c r="D39" s="20">
        <v>7</v>
      </c>
      <c r="E39" s="1"/>
      <c r="F39" s="1"/>
      <c r="G39" s="1"/>
      <c r="H39" s="1"/>
      <c r="I39" s="1"/>
      <c r="J39" s="19">
        <f>(D39*D$62)+(E39*E$62)+(F39*F$62)+(G39*G$62)+(H39*H$62)+(I39*I$62)</f>
        <v>35</v>
      </c>
      <c r="K39" s="43" t="str">
        <f>IF(D39&gt;=100, 250, IF(D39&gt;=50, 150, IF(D39&gt;=30, 50, "")))</f>
        <v/>
      </c>
      <c r="L39" s="20" t="str">
        <f>IF(E39=5, 200, IF(E39=3, 150, IF(E39=2, 50, "")))</f>
        <v/>
      </c>
      <c r="M39" s="20" t="str">
        <f>IF(H39=3,100,IF(H39=5,200,""))</f>
        <v/>
      </c>
      <c r="N39" s="20"/>
      <c r="O39" s="20"/>
      <c r="P39" s="1"/>
      <c r="Q39" s="1"/>
      <c r="R39" s="17">
        <f>SUM(K39:Q39)</f>
        <v>0</v>
      </c>
      <c r="T39" s="14">
        <f>R39+J39</f>
        <v>35</v>
      </c>
      <c r="V39" s="28">
        <v>8</v>
      </c>
      <c r="W39" s="29"/>
      <c r="X39" s="28"/>
      <c r="Y39" s="28"/>
      <c r="Z39" s="28"/>
      <c r="AA39" s="28"/>
      <c r="AE39" s="28" t="s">
        <v>98</v>
      </c>
      <c r="AF39" s="28">
        <f>T55</f>
        <v>635</v>
      </c>
    </row>
    <row r="40" spans="2:32" x14ac:dyDescent="0.3">
      <c r="B40" s="67"/>
      <c r="C40" s="19" t="s">
        <v>109</v>
      </c>
      <c r="D40" s="20">
        <v>5</v>
      </c>
      <c r="E40" s="1"/>
      <c r="F40" s="1"/>
      <c r="G40" s="1"/>
      <c r="H40" s="1"/>
      <c r="I40" s="1"/>
      <c r="J40" s="19">
        <f>(D40*D$62)+(E40*E$62)+(F40*F$62)+(G40*G$62)+(H40*H$62)+(I40*I$62)</f>
        <v>25</v>
      </c>
      <c r="K40" s="43" t="str">
        <f>IF(D40&gt;=100, 250, IF(D40&gt;=50, 150, IF(D40&gt;=30, 50, "")))</f>
        <v/>
      </c>
      <c r="L40" s="20" t="str">
        <f>IF(E40=5, 200, IF(E40=3, 150, IF(E40=2, 50, "")))</f>
        <v/>
      </c>
      <c r="M40" s="20" t="str">
        <f>IF(H40=3,100,IF(H40=5,200,""))</f>
        <v/>
      </c>
      <c r="N40" s="20"/>
      <c r="O40" s="20"/>
      <c r="P40" s="1"/>
      <c r="Q40" s="1"/>
      <c r="R40" s="17">
        <f>SUM(K40:Q40)</f>
        <v>0</v>
      </c>
      <c r="T40" s="14">
        <f>R40+J40</f>
        <v>25</v>
      </c>
      <c r="V40" s="28"/>
      <c r="W40" s="29"/>
      <c r="X40" s="28"/>
      <c r="Y40" s="28"/>
      <c r="Z40" s="28"/>
      <c r="AA40" s="28"/>
    </row>
    <row r="41" spans="2:32" x14ac:dyDescent="0.3">
      <c r="B41" s="67"/>
      <c r="C41" s="19" t="s">
        <v>135</v>
      </c>
      <c r="D41" s="20">
        <v>12</v>
      </c>
      <c r="E41" s="1">
        <v>2</v>
      </c>
      <c r="F41" s="1"/>
      <c r="G41" s="1"/>
      <c r="H41" s="1">
        <v>2</v>
      </c>
      <c r="I41" s="1"/>
      <c r="J41" s="19">
        <f>(D41*D$62)+(E41*E$62)+(F41*F$62)+(G41*G$62)+(H41*H$62)+(I41*I$62)</f>
        <v>360</v>
      </c>
      <c r="K41" s="43" t="str">
        <f>IF(D41&gt;=100, 250, IF(D41&gt;=50, 150, IF(D41&gt;=30, 50, "")))</f>
        <v/>
      </c>
      <c r="L41" s="20"/>
      <c r="M41" s="20" t="str">
        <f>IF(H41=3,100,IF(H41=5,200,""))</f>
        <v/>
      </c>
      <c r="N41" s="20"/>
      <c r="O41" s="20"/>
      <c r="P41" s="1"/>
      <c r="Q41" s="1"/>
      <c r="R41" s="17">
        <f>SUM(K41:Q41)</f>
        <v>0</v>
      </c>
      <c r="T41" s="14">
        <f>R41+J41</f>
        <v>360</v>
      </c>
      <c r="V41" s="28"/>
      <c r="W41" s="29"/>
      <c r="X41" s="28"/>
      <c r="Y41" s="28"/>
      <c r="Z41" s="28"/>
      <c r="AA41" s="28"/>
    </row>
    <row r="42" spans="2:32" ht="15" thickBot="1" x14ac:dyDescent="0.35">
      <c r="B42" s="68"/>
      <c r="C42" s="11" t="s">
        <v>178</v>
      </c>
      <c r="D42" s="12">
        <v>5</v>
      </c>
      <c r="E42" s="10">
        <v>2</v>
      </c>
      <c r="F42" s="10"/>
      <c r="G42" s="10"/>
      <c r="H42" s="10"/>
      <c r="I42" s="10"/>
      <c r="J42" s="11">
        <f>(D42*D$62)+(E42*E$62)+(F42*F$62)+(G42*G$62)+(H42*H$62)+(I42*I$62)</f>
        <v>225</v>
      </c>
      <c r="K42" s="9" t="str">
        <f>IF(D42&gt;=100, 250, IF(D42&gt;=50, 150, IF(D42&gt;=30, 50, "")))</f>
        <v/>
      </c>
      <c r="L42" s="12">
        <f>IF(E42=5, 200, IF(E42=3, 150, IF(E42=2, 50, "")))</f>
        <v>50</v>
      </c>
      <c r="M42" s="12" t="str">
        <f>IF(H42=3,100,IF(H42=5,200,""))</f>
        <v/>
      </c>
      <c r="N42" s="12"/>
      <c r="O42" s="12"/>
      <c r="P42" s="10"/>
      <c r="Q42" s="10"/>
      <c r="R42" s="13">
        <f>SUM(K42:Q42)</f>
        <v>50</v>
      </c>
      <c r="T42" s="34">
        <f>R42+J42</f>
        <v>275</v>
      </c>
      <c r="V42" s="28"/>
      <c r="W42" s="29"/>
      <c r="X42" s="28"/>
      <c r="Y42" s="28"/>
      <c r="Z42" s="28"/>
      <c r="AA42" s="28"/>
    </row>
    <row r="43" spans="2:32" ht="15" thickBot="1" x14ac:dyDescent="0.35">
      <c r="T43" s="37">
        <f>SUM(T38:T42)</f>
        <v>1505</v>
      </c>
      <c r="V43" s="28"/>
      <c r="W43" s="29"/>
      <c r="X43" s="28"/>
      <c r="Y43" s="28"/>
      <c r="Z43" s="28"/>
      <c r="AA43" s="28"/>
    </row>
    <row r="44" spans="2:32" x14ac:dyDescent="0.3">
      <c r="B44" s="66" t="s">
        <v>97</v>
      </c>
      <c r="C44" s="39" t="s">
        <v>251</v>
      </c>
      <c r="D44" s="23">
        <v>36</v>
      </c>
      <c r="E44" s="6"/>
      <c r="F44" s="6"/>
      <c r="G44" s="6"/>
      <c r="H44" s="6">
        <v>1</v>
      </c>
      <c r="I44" s="6"/>
      <c r="J44" s="7">
        <f>(D44*D$62)+(E44*E$62)+(F44*F$62)+(G44*G$62)+(H44*H$62)+(I44*I$62)</f>
        <v>230</v>
      </c>
      <c r="K44" s="5">
        <f>IF(D44&gt;=100, 250, IF(D44&gt;=50, 150, IF(D44&gt;=30, 50, "")))</f>
        <v>50</v>
      </c>
      <c r="L44" s="23" t="str">
        <f>IF(E44=5, 200, IF(E44=3, 150, IF(E44=2, 50, "")))</f>
        <v/>
      </c>
      <c r="M44" s="23" t="str">
        <f>IF(H44=3,100,IF(H44=5,200,""))</f>
        <v/>
      </c>
      <c r="N44" s="23"/>
      <c r="O44" s="23"/>
      <c r="P44" s="6"/>
      <c r="Q44" s="6"/>
      <c r="R44" s="24">
        <f>SUM(K44:Q44)</f>
        <v>50</v>
      </c>
      <c r="T44" s="33">
        <f>(R44+J44)*2</f>
        <v>560</v>
      </c>
      <c r="V44" s="28"/>
      <c r="W44" s="29"/>
      <c r="X44" s="28"/>
      <c r="Y44" s="28"/>
      <c r="Z44" s="28"/>
      <c r="AA44" s="28"/>
    </row>
    <row r="45" spans="2:32" x14ac:dyDescent="0.3">
      <c r="B45" s="67"/>
      <c r="C45" s="19" t="s">
        <v>180</v>
      </c>
      <c r="D45" s="20">
        <v>6</v>
      </c>
      <c r="E45" s="1"/>
      <c r="F45" s="1"/>
      <c r="G45" s="1"/>
      <c r="H45" s="1">
        <v>1</v>
      </c>
      <c r="I45" s="1"/>
      <c r="J45" s="19">
        <f>(D45*D$62)+(E45*E$62)+(F45*F$62)+(G45*G$62)+(H45*H$62)+(I45*I$62)</f>
        <v>80</v>
      </c>
      <c r="K45" s="43" t="str">
        <f>IF(D45&gt;=100, 250, IF(D45&gt;=50, 150, IF(D45&gt;=30, 50, "")))</f>
        <v/>
      </c>
      <c r="L45" s="20" t="str">
        <f>IF(E45=5, 200, IF(E45=3, 150, IF(E45=2, 50, "")))</f>
        <v/>
      </c>
      <c r="M45" s="20" t="str">
        <f>IF(H45=3,100,IF(H45=5,200,""))</f>
        <v/>
      </c>
      <c r="N45" s="20"/>
      <c r="O45" s="20"/>
      <c r="P45" s="1"/>
      <c r="Q45" s="1"/>
      <c r="R45" s="17">
        <f>SUM(K45:Q45)</f>
        <v>0</v>
      </c>
      <c r="T45" s="14">
        <f>R45+J45</f>
        <v>80</v>
      </c>
      <c r="V45" s="28"/>
      <c r="W45" s="29"/>
      <c r="X45" s="28"/>
      <c r="Y45" s="28"/>
      <c r="Z45" s="28"/>
      <c r="AA45" s="28"/>
    </row>
    <row r="46" spans="2:32" x14ac:dyDescent="0.3">
      <c r="B46" s="67"/>
      <c r="C46" s="19" t="s">
        <v>141</v>
      </c>
      <c r="D46" s="20">
        <v>4</v>
      </c>
      <c r="E46" s="1">
        <v>1</v>
      </c>
      <c r="F46" s="1"/>
      <c r="G46" s="1"/>
      <c r="H46" s="1"/>
      <c r="I46" s="1"/>
      <c r="J46" s="19">
        <f>(D46*D$62)+(E46*E$62)+(F46*F$62)+(G46*G$62)+(H46*H$62)+(I46*I$62)</f>
        <v>120</v>
      </c>
      <c r="K46" s="43" t="str">
        <f>IF(D46&gt;=100, 250, IF(D46&gt;=50, 150, IF(D46&gt;=30, 50, "")))</f>
        <v/>
      </c>
      <c r="L46" s="20" t="str">
        <f>IF(E46=5, 250, IF(E46=3, 150, IF(E46=2, 50, "")))</f>
        <v/>
      </c>
      <c r="M46" s="20" t="str">
        <f>IF(H46=3,100,IF(H46=5,200,""))</f>
        <v/>
      </c>
      <c r="N46" s="20"/>
      <c r="O46" s="20"/>
      <c r="P46" s="1"/>
      <c r="Q46" s="1"/>
      <c r="R46" s="17">
        <f>SUM(K46:Q46)</f>
        <v>0</v>
      </c>
      <c r="T46" s="14">
        <f>R46+J46</f>
        <v>120</v>
      </c>
      <c r="V46" s="28"/>
      <c r="W46" s="29"/>
      <c r="X46" s="28"/>
      <c r="Y46" s="28"/>
      <c r="Z46" s="28"/>
      <c r="AA46" s="28"/>
    </row>
    <row r="47" spans="2:32" x14ac:dyDescent="0.3">
      <c r="B47" s="67"/>
      <c r="C47" s="19" t="s">
        <v>252</v>
      </c>
      <c r="D47" s="20"/>
      <c r="E47" s="1">
        <v>2</v>
      </c>
      <c r="F47" s="1"/>
      <c r="G47" s="1"/>
      <c r="H47" s="1">
        <v>2</v>
      </c>
      <c r="I47" s="1"/>
      <c r="J47" s="19">
        <f>(D47*D$62)+(E47*E$62)+(F47*F$62)+(G47*G$62)+(H47*H$62)+(I47*I$62)</f>
        <v>300</v>
      </c>
      <c r="K47" s="43" t="str">
        <f>IF(D47&gt;=100, 250, IF(D47&gt;=50, 150, IF(D47&gt;=30, 50, "")))</f>
        <v/>
      </c>
      <c r="L47" s="20">
        <f>IF(E47=5, 200, IF(E47=3, 150, IF(E47=2, 50, "")))</f>
        <v>50</v>
      </c>
      <c r="M47" s="20" t="str">
        <f>IF(H47=3,100,IF(H47=5,200,""))</f>
        <v/>
      </c>
      <c r="N47" s="20"/>
      <c r="O47" s="20"/>
      <c r="P47" s="1"/>
      <c r="Q47" s="1"/>
      <c r="R47" s="17">
        <f>SUM(K47:Q47)</f>
        <v>50</v>
      </c>
      <c r="T47" s="14">
        <f>R47+J47</f>
        <v>350</v>
      </c>
      <c r="V47" s="28"/>
      <c r="W47" s="29"/>
      <c r="X47" s="28"/>
      <c r="Y47" s="28"/>
      <c r="Z47" s="28"/>
      <c r="AA47" s="28"/>
    </row>
    <row r="48" spans="2:32" ht="15" thickBot="1" x14ac:dyDescent="0.35">
      <c r="B48" s="68"/>
      <c r="C48" s="11" t="s">
        <v>80</v>
      </c>
      <c r="D48" s="12">
        <v>3</v>
      </c>
      <c r="E48" s="10">
        <v>2</v>
      </c>
      <c r="F48" s="10"/>
      <c r="G48" s="10"/>
      <c r="H48" s="10"/>
      <c r="I48" s="10"/>
      <c r="J48" s="11">
        <f>(D48*D$62)+(E48*E$62)+(F48*F$62)+(G48*G$62)+(H48*H$62)+(I48*I$62)</f>
        <v>215</v>
      </c>
      <c r="K48" s="9" t="str">
        <f>IF(D48&gt;=100, 250, IF(D48&gt;=50, 150, IF(D48&gt;=30, 50, "")))</f>
        <v/>
      </c>
      <c r="L48" s="12"/>
      <c r="M48" s="12" t="str">
        <f>IF(H48=3,100,IF(H48=5,200,""))</f>
        <v/>
      </c>
      <c r="N48" s="12"/>
      <c r="O48" s="12"/>
      <c r="P48" s="10"/>
      <c r="Q48" s="10"/>
      <c r="R48" s="13">
        <f>SUM(K48:Q48)</f>
        <v>0</v>
      </c>
      <c r="T48" s="34">
        <f>R48+J48</f>
        <v>215</v>
      </c>
      <c r="V48" s="28"/>
      <c r="W48" s="29"/>
      <c r="X48" s="28"/>
      <c r="Y48" s="28"/>
      <c r="Z48" s="28"/>
      <c r="AA48" s="28"/>
    </row>
    <row r="49" spans="2:27" ht="15" thickBot="1" x14ac:dyDescent="0.35">
      <c r="T49" s="37">
        <f>SUM(T44:T48)</f>
        <v>1325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120</v>
      </c>
      <c r="D50" s="23">
        <v>2</v>
      </c>
      <c r="E50" s="6"/>
      <c r="F50" s="6"/>
      <c r="G50" s="6"/>
      <c r="H50" s="6">
        <v>1</v>
      </c>
      <c r="I50" s="6"/>
      <c r="J50" s="7">
        <f>(D50*D$62)+(E50*E$62)+(F50*F$62)+(G50*G$62)+(H50*H$62)+(I50*I$62)</f>
        <v>60</v>
      </c>
      <c r="K50" s="5" t="str">
        <f>IF(D50&gt;=100, 250, IF(D50&gt;=50, 150, IF(D50&gt;=30, 50, "")))</f>
        <v/>
      </c>
      <c r="L50" s="23" t="str">
        <f>IF(E50=5, 200, IF(E50=3, 150, IF(E50=2, 50, "")))</f>
        <v/>
      </c>
      <c r="M50" s="23" t="str">
        <f>IF(H50=3,100,IF(H50=5,200,""))</f>
        <v/>
      </c>
      <c r="N50" s="23"/>
      <c r="O50" s="23"/>
      <c r="P50" s="6"/>
      <c r="Q50" s="6"/>
      <c r="R50" s="24">
        <f>SUM(K50:Q50)</f>
        <v>0</v>
      </c>
      <c r="T50" s="33">
        <f>(R50+J50)*2</f>
        <v>120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78</v>
      </c>
      <c r="D51" s="20">
        <v>1</v>
      </c>
      <c r="E51" s="1"/>
      <c r="F51" s="1"/>
      <c r="G51" s="1"/>
      <c r="H51" s="1"/>
      <c r="I51" s="1"/>
      <c r="J51" s="19">
        <f>(D51*D$62)+(E51*E$62)+(F51*F$62)+(G51*G$62)+(H51*H$62)+(I51*I$62)</f>
        <v>5</v>
      </c>
      <c r="K51" s="43" t="str">
        <f>IF(D51&gt;=100, 250, IF(D51&gt;=50, 150, IF(D51&gt;=30, 50, "")))</f>
        <v/>
      </c>
      <c r="L51" s="20" t="str">
        <f t="shared" ref="L51:L53" si="1">IF(E51=5, 200, IF(E51=3, 150, IF(E51=2, 50, "")))</f>
        <v/>
      </c>
      <c r="M51" s="20" t="str">
        <f>IF(H51=3,100,IF(H51=5,200,""))</f>
        <v/>
      </c>
      <c r="N51" s="20"/>
      <c r="O51" s="20"/>
      <c r="P51" s="1"/>
      <c r="Q51" s="1"/>
      <c r="R51" s="17">
        <f>SUM(K51:Q51)</f>
        <v>0</v>
      </c>
      <c r="T51" s="14">
        <f>R51+J51</f>
        <v>5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21</v>
      </c>
      <c r="D52" s="20"/>
      <c r="E52" s="1">
        <v>1</v>
      </c>
      <c r="F52" s="1"/>
      <c r="G52" s="1"/>
      <c r="H52" s="1"/>
      <c r="I52" s="1"/>
      <c r="J52" s="19">
        <f>(D52*D$62)+(E52*E$62)+(F52*F$62)+(G52*G$62)+(H52*H$62)+(I52*I$62)</f>
        <v>100</v>
      </c>
      <c r="K52" s="43" t="str">
        <f>IF(D52&gt;=100, 250, IF(D52&gt;=50, 150, IF(D52&gt;=30, 50, "")))</f>
        <v/>
      </c>
      <c r="L52" s="20" t="str">
        <f t="shared" si="1"/>
        <v/>
      </c>
      <c r="M52" s="20" t="str">
        <f>IF(H52=3,100,IF(H52=5,200,""))</f>
        <v/>
      </c>
      <c r="N52" s="20"/>
      <c r="O52" s="20"/>
      <c r="P52" s="1"/>
      <c r="Q52" s="1"/>
      <c r="R52" s="17">
        <f>SUM(K52:Q52)</f>
        <v>0</v>
      </c>
      <c r="T52" s="14">
        <f>R52+J52</f>
        <v>100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110</v>
      </c>
      <c r="D53" s="20"/>
      <c r="E53" s="1"/>
      <c r="F53" s="1"/>
      <c r="G53" s="1"/>
      <c r="H53" s="1"/>
      <c r="I53" s="1"/>
      <c r="J53" s="19">
        <f>(D53*D$62)+(E53*E$62)+(F53*F$62)+(G53*G$62)+(H53*H$62)+(I53*I$62)</f>
        <v>0</v>
      </c>
      <c r="K53" s="43" t="str">
        <f>IF(D53&gt;=100, 250, IF(D53&gt;=50, 150, IF(D53&gt;=30, 50, "")))</f>
        <v/>
      </c>
      <c r="L53" s="20" t="str">
        <f t="shared" si="1"/>
        <v/>
      </c>
      <c r="M53" s="20" t="str">
        <f>IF(H53=3,100,IF(H53=5,200,""))</f>
        <v/>
      </c>
      <c r="N53" s="20"/>
      <c r="O53" s="20"/>
      <c r="P53" s="1"/>
      <c r="Q53" s="1"/>
      <c r="R53" s="17">
        <f>SUM(K53:Q53)</f>
        <v>0</v>
      </c>
      <c r="T53" s="14">
        <f>R53+J53</f>
        <v>0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179</v>
      </c>
      <c r="D54" s="12">
        <v>52</v>
      </c>
      <c r="E54" s="10"/>
      <c r="F54" s="10"/>
      <c r="G54" s="10"/>
      <c r="H54" s="10"/>
      <c r="I54" s="10"/>
      <c r="J54" s="11">
        <f>(D54*D$62)+(E54*E$62)+(F54*F$62)+(G54*G$62)+(H54*H$62)+(I54*I$62)</f>
        <v>260</v>
      </c>
      <c r="K54" s="9">
        <f>IF(D54&gt;=100, 250, IF(D54&gt;=50, 150, IF(D54&gt;=30, 50, "")))</f>
        <v>150</v>
      </c>
      <c r="L54" s="12" t="str">
        <f>IF(E54=5, 200, IF(E54=3, 150, IF(E54=2, 50, "")))</f>
        <v/>
      </c>
      <c r="M54" s="12" t="str">
        <f>IF(H54=3,100,IF(H54=5,200,""))</f>
        <v/>
      </c>
      <c r="N54" s="12"/>
      <c r="O54" s="12"/>
      <c r="P54" s="10"/>
      <c r="Q54" s="10"/>
      <c r="R54" s="13">
        <f>SUM(K54:Q54)</f>
        <v>150</v>
      </c>
      <c r="T54" s="34">
        <f>R54+J54</f>
        <v>410</v>
      </c>
      <c r="V54" s="28"/>
      <c r="W54" s="29"/>
      <c r="X54" s="28"/>
      <c r="Y54" s="28"/>
      <c r="Z54" s="28"/>
      <c r="AA54" s="28"/>
    </row>
    <row r="55" spans="2:27" ht="15" thickBot="1" x14ac:dyDescent="0.35">
      <c r="T55" s="37">
        <f>SUM(T50:T54)</f>
        <v>635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13105</v>
      </c>
      <c r="Y63" s="42">
        <f>SUM(Y64:Y71)</f>
        <v>-5025</v>
      </c>
      <c r="Z63" s="42">
        <f>SUM(Z64:Z71)</f>
        <v>-5480</v>
      </c>
      <c r="AA63" s="42">
        <f>SUM(AA64:AA71)</f>
        <v>-2600</v>
      </c>
    </row>
    <row r="64" spans="2:27" x14ac:dyDescent="0.3">
      <c r="B64" s="66" t="s">
        <v>211</v>
      </c>
      <c r="C64" s="38" t="s">
        <v>248</v>
      </c>
      <c r="D64" s="5">
        <v>69</v>
      </c>
      <c r="E64" s="6"/>
      <c r="F64" s="6"/>
      <c r="G64" s="6"/>
      <c r="H64" s="6">
        <v>1</v>
      </c>
      <c r="I64" s="6"/>
      <c r="J64" s="7">
        <f>(D64*D$62)+(E64*E$62)+(F64*F$62)+(G64*G$62)+(H64*H$62)+(I64*I$62)</f>
        <v>395</v>
      </c>
      <c r="K64" s="15">
        <f>IF(D64&gt;=100, 250, IF(D64&gt;=50, 150, IF(D64&gt;=30, 50, "")))</f>
        <v>150</v>
      </c>
      <c r="L64" s="15" t="str">
        <f>IF(E64=5, 200, IF(E64=3, 150, IF(E64=2, 50, "")))</f>
        <v/>
      </c>
      <c r="M64" s="15" t="str">
        <f>IF(H64=3,100,IF(H64=5,200,""))</f>
        <v/>
      </c>
      <c r="N64" s="15"/>
      <c r="O64" s="15"/>
      <c r="P64" s="16"/>
      <c r="Q64" s="16"/>
      <c r="R64" s="17">
        <f>SUM(K64:Q64)</f>
        <v>150</v>
      </c>
      <c r="T64" s="14">
        <f>(R64+J64)*2</f>
        <v>1090</v>
      </c>
      <c r="V64" s="28">
        <v>1</v>
      </c>
      <c r="W64" s="29">
        <v>45752</v>
      </c>
      <c r="X64" s="28">
        <v>3045</v>
      </c>
      <c r="Y64" s="28">
        <v>-1065</v>
      </c>
      <c r="Z64" s="28">
        <v>-1060</v>
      </c>
      <c r="AA64" s="28">
        <v>-920</v>
      </c>
    </row>
    <row r="65" spans="2:27" x14ac:dyDescent="0.3">
      <c r="B65" s="67"/>
      <c r="C65" s="4" t="s">
        <v>249</v>
      </c>
      <c r="D65" s="18">
        <v>1</v>
      </c>
      <c r="E65" s="1">
        <v>1</v>
      </c>
      <c r="F65" s="1"/>
      <c r="G65" s="1"/>
      <c r="H65" s="1"/>
      <c r="I65" s="1"/>
      <c r="J65" s="19">
        <f>(D65*D$62)+(E65*E$62)+(F65*F$62)+(G65*G$62)+(H65*H$62)+(I65*I$62)</f>
        <v>105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105</v>
      </c>
      <c r="V65" s="28">
        <v>2</v>
      </c>
      <c r="W65" s="29">
        <v>45752</v>
      </c>
      <c r="X65" s="45">
        <v>-620</v>
      </c>
      <c r="Y65" s="45">
        <v>-785</v>
      </c>
      <c r="Z65" s="45">
        <v>-430</v>
      </c>
      <c r="AA65" s="45">
        <v>1835</v>
      </c>
    </row>
    <row r="66" spans="2:27" x14ac:dyDescent="0.3">
      <c r="B66" s="67"/>
      <c r="C66" s="4" t="s">
        <v>66</v>
      </c>
      <c r="D66" s="18">
        <v>42</v>
      </c>
      <c r="E66" s="1"/>
      <c r="F66" s="1"/>
      <c r="G66" s="1"/>
      <c r="H66" s="1"/>
      <c r="I66" s="1"/>
      <c r="J66" s="19">
        <f>(D66*D$62)+(E66*E$62)+(F66*F$62)+(G66*G$62)+(H66*H$62)+(I66*I$62)</f>
        <v>210</v>
      </c>
      <c r="K66" s="15">
        <f>IF(D66&gt;=100, 250, IF(D66&gt;=50, 150, IF(D66&gt;=30, 50, "")))</f>
        <v>50</v>
      </c>
      <c r="L66" s="20" t="str">
        <f>IF(E66=5, 200, IF(E66=3, 150, IF(E66=2, 50, "")))</f>
        <v/>
      </c>
      <c r="M66" s="20" t="str">
        <f>IF(H66=3,100,IF(H66=5,200,""))</f>
        <v/>
      </c>
      <c r="N66" s="20"/>
      <c r="O66" s="20"/>
      <c r="P66" s="1"/>
      <c r="Q66" s="1"/>
      <c r="R66" s="17">
        <f>SUM(K66:Q66)</f>
        <v>50</v>
      </c>
      <c r="T66" s="14">
        <f>R66+J66</f>
        <v>260</v>
      </c>
      <c r="V66" s="28">
        <v>3</v>
      </c>
      <c r="W66" s="44">
        <v>45753</v>
      </c>
      <c r="X66" s="28">
        <v>2060</v>
      </c>
      <c r="Y66" s="28">
        <v>-650</v>
      </c>
      <c r="Z66" s="28">
        <v>-775</v>
      </c>
      <c r="AA66" s="28">
        <v>-635</v>
      </c>
    </row>
    <row r="67" spans="2:27" x14ac:dyDescent="0.3">
      <c r="B67" s="67"/>
      <c r="C67" s="4" t="s">
        <v>250</v>
      </c>
      <c r="D67" s="18">
        <v>34</v>
      </c>
      <c r="E67" s="1"/>
      <c r="F67" s="1"/>
      <c r="G67" s="1"/>
      <c r="H67" s="1"/>
      <c r="I67" s="1"/>
      <c r="J67" s="19">
        <f>(D67*D$62)+(E67*E$62)+(F67*F$62)+(G67*G$62)+(H67*H$62)+(I67*I$62)</f>
        <v>170</v>
      </c>
      <c r="K67" s="15">
        <f>IF(D67&gt;=100, 250, IF(D67&gt;=50, 150, IF(D67&gt;=30, 50, "")))</f>
        <v>50</v>
      </c>
      <c r="L67" s="20" t="str">
        <f>IF(E67=5, 200, IF(E67=3, 150, IF(E67=2, 50, "")))</f>
        <v/>
      </c>
      <c r="M67" s="20" t="str">
        <f>IF(H67=3,100,IF(H67=5,200,""))</f>
        <v/>
      </c>
      <c r="N67" s="20"/>
      <c r="O67" s="20"/>
      <c r="P67" s="1"/>
      <c r="Q67" s="1"/>
      <c r="R67" s="17">
        <f>SUM(K67:Q67)</f>
        <v>50</v>
      </c>
      <c r="T67" s="14">
        <f>R67+J67</f>
        <v>220</v>
      </c>
      <c r="V67" s="28">
        <v>4</v>
      </c>
      <c r="W67" s="44">
        <v>45754</v>
      </c>
      <c r="X67" s="28">
        <v>330</v>
      </c>
      <c r="Y67" s="28">
        <v>-330</v>
      </c>
      <c r="Z67" s="28">
        <v>330</v>
      </c>
      <c r="AA67" s="28">
        <v>-330</v>
      </c>
    </row>
    <row r="68" spans="2:27" ht="15" thickBot="1" x14ac:dyDescent="0.35">
      <c r="B68" s="68"/>
      <c r="C68" s="21" t="s">
        <v>68</v>
      </c>
      <c r="D68" s="9"/>
      <c r="E68" s="10">
        <v>2</v>
      </c>
      <c r="F68" s="10"/>
      <c r="G68" s="10"/>
      <c r="H68" s="10">
        <v>1</v>
      </c>
      <c r="I68" s="10"/>
      <c r="J68" s="11">
        <f>(D68*D$62)+(E68*E$62)+(F68*F$62)+(G68*G$62)+(H68*H$62)+(I68*I$62)</f>
        <v>250</v>
      </c>
      <c r="K68" s="12" t="str">
        <f>IF(D68&gt;=100, 250, IF(D68&gt;=50, 150, IF(D68&gt;=30, 50, "")))</f>
        <v/>
      </c>
      <c r="L68" s="12">
        <f>IF(E68=5, 200, IF(E68=3, 150, IF(E68=2, 50, "")))</f>
        <v>50</v>
      </c>
      <c r="M68" s="12" t="str">
        <f>IF(H68=3,100,IF(H68=5,200,""))</f>
        <v/>
      </c>
      <c r="N68" s="12"/>
      <c r="O68" s="12"/>
      <c r="P68" s="10"/>
      <c r="Q68" s="10"/>
      <c r="R68" s="13">
        <f>SUM(K68:Q68)</f>
        <v>50</v>
      </c>
      <c r="T68" s="22">
        <f>(R68+J68)</f>
        <v>300</v>
      </c>
      <c r="V68" s="28">
        <v>5</v>
      </c>
      <c r="W68" s="29">
        <v>45755</v>
      </c>
      <c r="X68" s="28">
        <v>4760</v>
      </c>
      <c r="Y68" s="28">
        <v>-720</v>
      </c>
      <c r="Z68" s="28">
        <v>-2345</v>
      </c>
      <c r="AA68" s="28">
        <v>-1695</v>
      </c>
    </row>
    <row r="69" spans="2:27" ht="15" thickBot="1" x14ac:dyDescent="0.35">
      <c r="T69" s="37">
        <f>SUM(T64:T68)</f>
        <v>1975</v>
      </c>
      <c r="V69" s="28">
        <v>6</v>
      </c>
      <c r="W69" s="29">
        <v>45755</v>
      </c>
      <c r="X69" s="28">
        <f>-(Y69+Z69+AA69)</f>
        <v>3530</v>
      </c>
      <c r="Y69" s="28">
        <f>T75-T69</f>
        <v>-1475</v>
      </c>
      <c r="Z69" s="28">
        <f>T81-T69</f>
        <v>-1200</v>
      </c>
      <c r="AA69" s="28">
        <f>T87-T69</f>
        <v>-855</v>
      </c>
    </row>
    <row r="70" spans="2:27" x14ac:dyDescent="0.3">
      <c r="B70" s="66" t="s">
        <v>96</v>
      </c>
      <c r="C70" s="39" t="s">
        <v>129</v>
      </c>
      <c r="D70" s="23">
        <v>9</v>
      </c>
      <c r="E70" s="6"/>
      <c r="F70" s="6"/>
      <c r="G70" s="6"/>
      <c r="H70" s="6"/>
      <c r="I70" s="6"/>
      <c r="J70" s="7">
        <f>(D70*D$62)+(E70*E$62)+(F70*F$62)+(G70*G$62)+(H70*H$62)+(I70*I$62)</f>
        <v>45</v>
      </c>
      <c r="K70" s="5" t="str">
        <f>IF(D70&gt;=100, 250, IF(D70&gt;=50, 150, IF(D70&gt;=30, 50, "")))</f>
        <v/>
      </c>
      <c r="L70" s="23" t="str">
        <f>IF(E70=5, 200, IF(E70=3, 150, IF(E70=2, 50, "")))</f>
        <v/>
      </c>
      <c r="M70" s="23" t="str">
        <f>IF(H70=3,100,IF(H70=5,200,""))</f>
        <v/>
      </c>
      <c r="N70" s="23"/>
      <c r="O70" s="23"/>
      <c r="P70" s="6"/>
      <c r="Q70" s="6"/>
      <c r="R70" s="24">
        <f>SUM(K70:Q70)</f>
        <v>0</v>
      </c>
      <c r="T70" s="33">
        <f>(R70+J70)*2</f>
        <v>90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 t="s">
        <v>134</v>
      </c>
      <c r="D71" s="20">
        <v>0</v>
      </c>
      <c r="E71" s="1"/>
      <c r="F71" s="1"/>
      <c r="G71" s="1">
        <v>1</v>
      </c>
      <c r="H71" s="1"/>
      <c r="I71" s="1">
        <v>1</v>
      </c>
      <c r="J71" s="19">
        <f>(D71*D$62)+(E71*E$62)+(F71*F$62)+(G71*G$62)+(H71*H$62)+(I71*I$62)</f>
        <v>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 t="s">
        <v>26</v>
      </c>
      <c r="D72" s="20"/>
      <c r="E72" s="1">
        <v>1</v>
      </c>
      <c r="F72" s="1"/>
      <c r="G72" s="1"/>
      <c r="H72" s="1"/>
      <c r="I72" s="1"/>
      <c r="J72" s="19">
        <f>(D72*D$62)+(E72*E$62)+(F72*F$62)+(G72*G$62)+(H72*H$62)+(I72*I$62)</f>
        <v>100</v>
      </c>
      <c r="K72" s="43" t="str">
        <f>IF(D72&gt;=100, 250, IF(D72&gt;=50, 150, IF(D72&gt;=30, 50, "")))</f>
        <v/>
      </c>
      <c r="L72" s="20" t="str">
        <f>IF(E72=5, 200, IF(E72=3, 150, IF(E72=2, 50, "")))</f>
        <v/>
      </c>
      <c r="M72" s="20" t="str">
        <f>IF(H72=3,100,IF(H72=5,200,""))</f>
        <v/>
      </c>
      <c r="N72" s="20"/>
      <c r="O72" s="20"/>
      <c r="P72" s="1"/>
      <c r="Q72" s="1"/>
      <c r="R72" s="17">
        <f>SUM(K72:Q72)</f>
        <v>0</v>
      </c>
      <c r="T72" s="14">
        <f>R72+J72</f>
        <v>100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 t="s">
        <v>77</v>
      </c>
      <c r="D73" s="20"/>
      <c r="E73" s="1">
        <v>2</v>
      </c>
      <c r="F73" s="1"/>
      <c r="G73" s="1"/>
      <c r="H73" s="1"/>
      <c r="I73" s="1"/>
      <c r="J73" s="19">
        <f>(D73*D$62)+(E73*E$62)+(F73*F$62)+(G73*G$62)+(H73*H$62)+(I73*I$62)</f>
        <v>200</v>
      </c>
      <c r="K73" s="43" t="str">
        <f>IF(D73&gt;=100, 250, IF(D73&gt;=50, 150, IF(D73&gt;=30, 50, "")))</f>
        <v/>
      </c>
      <c r="L73" s="20">
        <f>IF(E73=5, 200, IF(E73=3, 150, IF(E73=2, 50, "")))</f>
        <v>50</v>
      </c>
      <c r="M73" s="20" t="str">
        <f>IF(H73=3,100,IF(H73=5,200,""))</f>
        <v/>
      </c>
      <c r="N73" s="20"/>
      <c r="O73" s="20"/>
      <c r="P73" s="1"/>
      <c r="Q73" s="1"/>
      <c r="R73" s="17">
        <f>SUM(K73:Q73)</f>
        <v>50</v>
      </c>
      <c r="T73" s="14">
        <f>R73+J73</f>
        <v>250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 t="s">
        <v>246</v>
      </c>
      <c r="D74" s="12">
        <v>2</v>
      </c>
      <c r="E74" s="10"/>
      <c r="F74" s="10"/>
      <c r="G74" s="10"/>
      <c r="H74" s="10">
        <v>1</v>
      </c>
      <c r="I74" s="10"/>
      <c r="J74" s="11">
        <f>(D74*D$62)+(E74*E$62)+(F74*F$62)+(G74*G$62)+(H74*H$62)+(I74*I$62)</f>
        <v>60</v>
      </c>
      <c r="K74" s="9" t="str">
        <f>IF(D74&gt;=100, 250, IF(D74&gt;=50, 150, IF(D74&gt;=30, 50, "")))</f>
        <v/>
      </c>
      <c r="L74" s="12" t="str">
        <f>IF(E74=5, 200, IF(E74=3, 150, IF(E74=2, 50, "")))</f>
        <v/>
      </c>
      <c r="M74" s="12" t="str">
        <f>IF(H74=3,100,IF(H74=5,200,""))</f>
        <v/>
      </c>
      <c r="N74" s="12"/>
      <c r="O74" s="12"/>
      <c r="P74" s="10"/>
      <c r="Q74" s="10"/>
      <c r="R74" s="13">
        <f>SUM(K74:Q74)</f>
        <v>0</v>
      </c>
      <c r="T74" s="34">
        <f>R74+J74</f>
        <v>60</v>
      </c>
      <c r="V74" s="28"/>
      <c r="W74" s="29"/>
      <c r="X74" s="28"/>
      <c r="Y74" s="28"/>
      <c r="Z74" s="28"/>
      <c r="AA74" s="28"/>
    </row>
    <row r="75" spans="2:27" ht="15" thickBot="1" x14ac:dyDescent="0.35">
      <c r="T75" s="37">
        <f>SUM(T70:T74)</f>
        <v>500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 t="s">
        <v>36</v>
      </c>
      <c r="D76" s="23">
        <v>36</v>
      </c>
      <c r="E76" s="6"/>
      <c r="F76" s="6"/>
      <c r="G76" s="6"/>
      <c r="H76" s="6"/>
      <c r="I76" s="6"/>
      <c r="J76" s="7">
        <f>(D76*D$62)+(E76*E$62)+(F76*F$62)+(G76*G$62)+(H76*H$62)+(I76*I$62)</f>
        <v>180</v>
      </c>
      <c r="K76" s="5">
        <f>IF(D76&gt;=100, 250, IF(D76&gt;=50, 150, IF(D76&gt;=30, 50, "")))</f>
        <v>50</v>
      </c>
      <c r="L76" s="23" t="str">
        <f>IF(E76=5, 200, IF(E76=3, 150, IF(E76=2, 50, "")))</f>
        <v/>
      </c>
      <c r="M76" s="23" t="str">
        <f>IF(H76=3,100,IF(H76=5,200,""))</f>
        <v/>
      </c>
      <c r="N76" s="23"/>
      <c r="O76" s="23"/>
      <c r="P76" s="6"/>
      <c r="Q76" s="6"/>
      <c r="R76" s="24">
        <f>SUM(K76:Q76)</f>
        <v>50</v>
      </c>
      <c r="T76" s="33">
        <f>(R76+J76)*2</f>
        <v>460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126</v>
      </c>
      <c r="D77" s="20">
        <v>4</v>
      </c>
      <c r="E77" s="1"/>
      <c r="F77" s="1"/>
      <c r="G77" s="1"/>
      <c r="H77" s="1"/>
      <c r="I77" s="1"/>
      <c r="J77" s="19">
        <f>(D77*D$62)+(E77*E$62)+(F77*F$62)+(G77*G$62)+(H77*H$62)+(I77*I$62)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 t="s">
        <v>181</v>
      </c>
      <c r="D78" s="20"/>
      <c r="E78" s="1"/>
      <c r="F78" s="1"/>
      <c r="G78" s="1"/>
      <c r="H78" s="1"/>
      <c r="I78" s="1"/>
      <c r="J78" s="19">
        <f>(D78*D$62)+(E78*E$62)+(F78*F$62)+(G78*G$62)+(H78*H$62)+(I78*I$62)</f>
        <v>0</v>
      </c>
      <c r="K78" s="43" t="str">
        <f>IF(D78&gt;=100, 250, IF(D78&gt;=50, 150, IF(D78&gt;=30, 50, "")))</f>
        <v/>
      </c>
      <c r="L78" s="20" t="str">
        <f>IF(E78=5, 200, IF(E78=3, 150, IF(E78=2, 50, "")))</f>
        <v/>
      </c>
      <c r="M78" s="20" t="str">
        <f>IF(H78=3,100,IF(H78=5,200,""))</f>
        <v/>
      </c>
      <c r="N78" s="20"/>
      <c r="O78" s="20"/>
      <c r="P78" s="1"/>
      <c r="Q78" s="1"/>
      <c r="R78" s="17">
        <f>SUM(K78:Q78)</f>
        <v>0</v>
      </c>
      <c r="T78" s="14">
        <f>R78+J78</f>
        <v>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 t="s">
        <v>191</v>
      </c>
      <c r="D79" s="20"/>
      <c r="E79" s="1">
        <v>2</v>
      </c>
      <c r="F79" s="1"/>
      <c r="G79" s="1"/>
      <c r="H79" s="1"/>
      <c r="I79" s="1"/>
      <c r="J79" s="19">
        <f>(D79*D$62)+(E79*E$62)+(F79*F$62)+(G79*G$62)+(H79*H$62)+(I79*I$62)</f>
        <v>200</v>
      </c>
      <c r="K79" s="43" t="str">
        <f>IF(D79&gt;=100, 250, IF(D79&gt;=50, 150, IF(D79&gt;=30, 50, "")))</f>
        <v/>
      </c>
      <c r="L79" s="20">
        <f>IF(E79=5, 200, IF(E79=3, 150, IF(E79=2, 50, "")))</f>
        <v>50</v>
      </c>
      <c r="M79" s="20" t="str">
        <f>IF(H79=3,100,IF(H79=5,200,""))</f>
        <v/>
      </c>
      <c r="N79" s="20"/>
      <c r="O79" s="20"/>
      <c r="P79" s="1"/>
      <c r="Q79" s="1"/>
      <c r="R79" s="17">
        <f>SUM(K79:Q79)</f>
        <v>50</v>
      </c>
      <c r="T79" s="14">
        <f>R79+J79</f>
        <v>250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 t="s">
        <v>59</v>
      </c>
      <c r="D80" s="12">
        <v>9</v>
      </c>
      <c r="E80" s="10"/>
      <c r="F80" s="10"/>
      <c r="G80" s="10"/>
      <c r="H80" s="10"/>
      <c r="I80" s="10"/>
      <c r="J80" s="11">
        <f>(D80*D$62)+(E80*E$62)+(F80*F$62)+(G80*G$62)+(H80*H$62)+(I80*I$62)</f>
        <v>45</v>
      </c>
      <c r="K80" s="9" t="str">
        <f>IF(D80&gt;=100, 250, IF(D80&gt;=50, 150, IF(D80&gt;=30, 50, "")))</f>
        <v/>
      </c>
      <c r="L80" s="12" t="str">
        <f>IF(E80=5, 200, IF(E80=3, 150, IF(E80=2, 50, "")))</f>
        <v/>
      </c>
      <c r="M80" s="12" t="str">
        <f>IF(H80=3,100,IF(H80=5,200,""))</f>
        <v/>
      </c>
      <c r="N80" s="12"/>
      <c r="O80" s="12"/>
      <c r="P80" s="10"/>
      <c r="Q80" s="10"/>
      <c r="R80" s="13">
        <f>SUM(K80:Q80)</f>
        <v>0</v>
      </c>
      <c r="T80" s="34">
        <f>R80+J80</f>
        <v>45</v>
      </c>
      <c r="V80" s="28"/>
      <c r="W80" s="29"/>
      <c r="X80" s="28"/>
      <c r="Y80" s="28"/>
      <c r="Z80" s="28"/>
      <c r="AA80" s="28"/>
    </row>
    <row r="81" spans="2:27" ht="15" thickBot="1" x14ac:dyDescent="0.35">
      <c r="T81" s="37">
        <f>SUM(T76:T80)</f>
        <v>775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 t="s">
        <v>222</v>
      </c>
      <c r="D82" s="23">
        <v>1</v>
      </c>
      <c r="E82" s="6"/>
      <c r="F82" s="6"/>
      <c r="G82" s="6"/>
      <c r="H82" s="6"/>
      <c r="I82" s="6"/>
      <c r="J82" s="7">
        <f>(D82*D$62)+(E82*E$62)+(F82*F$62)+(G82*G$62)+(H82*H$62)+(I82*I$62)</f>
        <v>5</v>
      </c>
      <c r="K82" s="5" t="str">
        <f>IF(D82&gt;=100, 250, IF(D82&gt;=50, 150, IF(D82&gt;=30, 50, "")))</f>
        <v/>
      </c>
      <c r="L82" s="23" t="str">
        <f>IF(E82=5, 200, IF(E82=3, 150, IF(E82=2, 50, "")))</f>
        <v/>
      </c>
      <c r="M82" s="23" t="str">
        <f>IF(H82=3,100,IF(H82=5,200,""))</f>
        <v/>
      </c>
      <c r="N82" s="23"/>
      <c r="O82" s="23"/>
      <c r="P82" s="6"/>
      <c r="Q82" s="6"/>
      <c r="R82" s="24">
        <f>SUM(K82:Q82)</f>
        <v>0</v>
      </c>
      <c r="T82" s="33">
        <f>(R82+J82)*2</f>
        <v>10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136</v>
      </c>
      <c r="D83" s="20">
        <v>103</v>
      </c>
      <c r="E83" s="1"/>
      <c r="F83" s="1"/>
      <c r="G83" s="1"/>
      <c r="H83" s="1"/>
      <c r="I83" s="1"/>
      <c r="J83" s="19">
        <f>(D83*D$62)+(E83*E$62)+(F83*F$62)+(G83*G$62)+(H83*H$62)+(I83*I$62)</f>
        <v>515</v>
      </c>
      <c r="K83" s="43">
        <f>IF(D83&gt;=100, 250, IF(D83&gt;=50, 150, IF(D83&gt;=30, 50, "")))</f>
        <v>250</v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>
        <v>150</v>
      </c>
      <c r="P83" s="1">
        <v>100</v>
      </c>
      <c r="Q83" s="1"/>
      <c r="R83" s="17">
        <f>SUM(K83:Q83)</f>
        <v>500</v>
      </c>
      <c r="T83" s="14">
        <f>R83+J83</f>
        <v>1015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 t="s">
        <v>247</v>
      </c>
      <c r="D84" s="20"/>
      <c r="E84" s="1"/>
      <c r="F84" s="1"/>
      <c r="G84" s="1"/>
      <c r="H84" s="1"/>
      <c r="I84" s="1"/>
      <c r="J84" s="19">
        <f>(D84*D$62)+(E84*E$62)+(F84*F$62)+(G84*G$62)+(H84*H$62)+(I84*I$62)</f>
        <v>0</v>
      </c>
      <c r="K84" s="43" t="str">
        <f>IF(D84&gt;=100, 250, IF(D84&gt;=50, 150, IF(D84&gt;=30, 50, "")))</f>
        <v/>
      </c>
      <c r="L84" s="20" t="str">
        <f>IF(E84=5, 200, IF(E84=3, 150, IF(E84=2, 50, "")))</f>
        <v/>
      </c>
      <c r="M84" s="20" t="str">
        <f>IF(H84=3,100,IF(H84=5,200,""))</f>
        <v/>
      </c>
      <c r="N84" s="20"/>
      <c r="O84" s="20"/>
      <c r="P84" s="1"/>
      <c r="Q84" s="1"/>
      <c r="R84" s="17">
        <f>SUM(K84:Q84)</f>
        <v>0</v>
      </c>
      <c r="T84" s="14">
        <f>R84+J84</f>
        <v>0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 t="s">
        <v>225</v>
      </c>
      <c r="D85" s="20">
        <v>9</v>
      </c>
      <c r="E85" s="1"/>
      <c r="F85" s="1"/>
      <c r="G85" s="1"/>
      <c r="H85" s="1"/>
      <c r="I85" s="1"/>
      <c r="J85" s="19">
        <f>(D85*D$62)+(E85*E$62)+(F85*F$62)+(G85*G$62)+(H85*H$62)+(I85*I$62)</f>
        <v>45</v>
      </c>
      <c r="K85" s="43" t="str">
        <f>IF(D85&gt;=100, 250, IF(D85&gt;=50, 150, IF(D85&gt;=30, 50, "")))</f>
        <v/>
      </c>
      <c r="L85" s="20" t="str">
        <f>IF(E85=5, 200, IF(E85=3, 150, IF(E85=2, 50, "")))</f>
        <v/>
      </c>
      <c r="M85" s="20" t="str">
        <f>IF(H85=3,100,IF(H85=5,200,""))</f>
        <v/>
      </c>
      <c r="N85" s="20"/>
      <c r="O85" s="20"/>
      <c r="P85" s="1"/>
      <c r="Q85" s="1"/>
      <c r="R85" s="17">
        <f>SUM(K85:Q85)</f>
        <v>0</v>
      </c>
      <c r="T85" s="14">
        <f>R85+J85</f>
        <v>45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 t="s">
        <v>127</v>
      </c>
      <c r="D86" s="12"/>
      <c r="E86" s="10"/>
      <c r="F86" s="10"/>
      <c r="G86" s="10"/>
      <c r="H86" s="10">
        <v>1</v>
      </c>
      <c r="I86" s="10"/>
      <c r="J86" s="11">
        <f>(D86*D$62)+(E86*E$62)+(F86*F$62)+(G86*G$62)+(H86*H$62)+(I86*I$62)</f>
        <v>50</v>
      </c>
      <c r="K86" s="9" t="str">
        <f>IF(D86&gt;=100, 250, IF(D86&gt;=50, 150, IF(D86&gt;=30, 50, "")))</f>
        <v/>
      </c>
      <c r="L86" s="12" t="str">
        <f>IF(E86=5, 200, IF(E86=3, 150, IF(E86=2, 50, "")))</f>
        <v/>
      </c>
      <c r="M86" s="12" t="str">
        <f>IF(H86=3,100,IF(H86=5,200,""))</f>
        <v/>
      </c>
      <c r="N86" s="12"/>
      <c r="O86" s="12"/>
      <c r="P86" s="10"/>
      <c r="Q86" s="10"/>
      <c r="R86" s="13">
        <f>SUM(K86:Q86)</f>
        <v>0</v>
      </c>
      <c r="T86" s="34">
        <f>R86+J86</f>
        <v>50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1120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AK87"/>
  <sheetViews>
    <sheetView topLeftCell="B1" zoomScale="90" zoomScaleNormal="90" workbookViewId="0">
      <selection activeCell="V30" sqref="V30:AA39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7" width="8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F3" s="47"/>
      <c r="AG3" s="47" t="s">
        <v>211</v>
      </c>
      <c r="AH3" s="48" t="s">
        <v>96</v>
      </c>
      <c r="AI3" s="48" t="s">
        <v>97</v>
      </c>
      <c r="AJ3" s="48" t="s">
        <v>98</v>
      </c>
      <c r="AK3" s="46"/>
    </row>
    <row r="4" spans="2:37" x14ac:dyDescent="0.3">
      <c r="AE4" s="46"/>
      <c r="AF4" s="49" t="s">
        <v>165</v>
      </c>
      <c r="AG4" s="49">
        <v>-4745</v>
      </c>
      <c r="AH4" s="49">
        <v>2405</v>
      </c>
      <c r="AI4" s="49">
        <v>10275</v>
      </c>
      <c r="AJ4" s="49">
        <v>-7935</v>
      </c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F5" s="49" t="s">
        <v>210</v>
      </c>
      <c r="AG5" s="49">
        <v>-5315</v>
      </c>
      <c r="AH5" s="49">
        <v>-3535</v>
      </c>
      <c r="AI5" s="49">
        <v>5950</v>
      </c>
      <c r="AJ5" s="49">
        <v>2900</v>
      </c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F6" s="49" t="s">
        <v>236</v>
      </c>
      <c r="AG6" s="49">
        <f>X31</f>
        <v>14615</v>
      </c>
      <c r="AH6" s="49">
        <f>Y31</f>
        <v>-7370</v>
      </c>
      <c r="AI6" s="49">
        <f>Z31</f>
        <v>-1095</v>
      </c>
      <c r="AJ6" s="49">
        <f>AA31</f>
        <v>-6150</v>
      </c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F7" s="46"/>
      <c r="AG7" s="46"/>
      <c r="AH7" s="46"/>
      <c r="AI7" s="46"/>
      <c r="AJ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F8" s="46"/>
      <c r="AG8" s="46"/>
      <c r="AH8" s="46"/>
      <c r="AI8" s="46"/>
      <c r="AJ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6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36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36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  <c r="AF30" s="49" t="s">
        <v>0</v>
      </c>
      <c r="AG30" s="49">
        <f>SUM(AG4:AG29)</f>
        <v>4555</v>
      </c>
      <c r="AH30" s="49">
        <f t="shared" ref="AH30:AJ30" si="0">SUM(AH4:AH29)</f>
        <v>-8500</v>
      </c>
      <c r="AI30" s="49">
        <f t="shared" si="0"/>
        <v>15130</v>
      </c>
      <c r="AJ30" s="49">
        <f t="shared" si="0"/>
        <v>-11185</v>
      </c>
    </row>
    <row r="31" spans="2:36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14615</v>
      </c>
      <c r="Y31" s="42">
        <f>SUM(Y32:Y39)</f>
        <v>-7370</v>
      </c>
      <c r="Z31" s="42">
        <f>SUM(Z32:Z39)</f>
        <v>-1095</v>
      </c>
      <c r="AA31" s="42">
        <f>SUM(AA32:AA39)</f>
        <v>-6150</v>
      </c>
    </row>
    <row r="32" spans="2:36" x14ac:dyDescent="0.3">
      <c r="B32" s="66" t="s">
        <v>211</v>
      </c>
      <c r="C32" s="38" t="s">
        <v>19</v>
      </c>
      <c r="D32" s="5">
        <v>22</v>
      </c>
      <c r="E32" s="6"/>
      <c r="F32" s="6"/>
      <c r="G32" s="6"/>
      <c r="H32" s="6"/>
      <c r="I32" s="6"/>
      <c r="J32" s="7">
        <f>(D32*D$62)+(E32*E$62)+(F32*F$62)+(G32*G$62)+(H32*H$62)+(I32*I$62)</f>
        <v>110</v>
      </c>
      <c r="K32" s="15" t="s">
        <v>258</v>
      </c>
      <c r="L32" s="15" t="s">
        <v>258</v>
      </c>
      <c r="M32" s="15" t="s">
        <v>258</v>
      </c>
      <c r="N32" s="15"/>
      <c r="O32" s="15"/>
      <c r="P32" s="16"/>
      <c r="Q32" s="16"/>
      <c r="R32" s="17">
        <f>SUM(K32:Q32)</f>
        <v>0</v>
      </c>
      <c r="T32" s="14">
        <f>(R32+J32)*2</f>
        <v>220</v>
      </c>
      <c r="V32" s="28">
        <v>1</v>
      </c>
      <c r="W32" s="29">
        <v>45752</v>
      </c>
      <c r="X32" s="28">
        <v>3045</v>
      </c>
      <c r="Y32" s="28">
        <v>-1065</v>
      </c>
      <c r="Z32" s="28">
        <v>-1060</v>
      </c>
      <c r="AA32" s="28">
        <v>-920</v>
      </c>
    </row>
    <row r="33" spans="2:32" x14ac:dyDescent="0.3">
      <c r="B33" s="67"/>
      <c r="C33" s="4" t="s">
        <v>81</v>
      </c>
      <c r="D33" s="18">
        <v>7</v>
      </c>
      <c r="E33" s="1"/>
      <c r="F33" s="1"/>
      <c r="G33" s="1"/>
      <c r="H33" s="1"/>
      <c r="I33" s="1"/>
      <c r="J33" s="19">
        <f>(D33*D$62)+(E33*E$62)+(F33*F$62)+(G33*G$62)+(H33*H$62)+(I33*I$62)</f>
        <v>35</v>
      </c>
      <c r="K33" s="15" t="s">
        <v>258</v>
      </c>
      <c r="L33" s="20" t="s">
        <v>258</v>
      </c>
      <c r="M33" s="20" t="s">
        <v>258</v>
      </c>
      <c r="N33" s="20"/>
      <c r="O33" s="20"/>
      <c r="P33" s="1"/>
      <c r="Q33" s="1"/>
      <c r="R33" s="17">
        <f>SUM(K33:Q33)</f>
        <v>0</v>
      </c>
      <c r="T33" s="14">
        <f>R33+J33</f>
        <v>35</v>
      </c>
      <c r="V33" s="28">
        <v>2</v>
      </c>
      <c r="W33" s="29">
        <v>45752</v>
      </c>
      <c r="X33" s="45">
        <v>-620</v>
      </c>
      <c r="Y33" s="45">
        <v>-785</v>
      </c>
      <c r="Z33" s="45">
        <v>-430</v>
      </c>
      <c r="AA33" s="45">
        <v>1835</v>
      </c>
    </row>
    <row r="34" spans="2:32" x14ac:dyDescent="0.3">
      <c r="B34" s="67"/>
      <c r="C34" s="4" t="s">
        <v>47</v>
      </c>
      <c r="D34" s="18"/>
      <c r="E34" s="1"/>
      <c r="F34" s="1"/>
      <c r="G34" s="1"/>
      <c r="H34" s="1">
        <v>1</v>
      </c>
      <c r="I34" s="1"/>
      <c r="J34" s="19">
        <f>(D34*D$62)+(E34*E$62)+(F34*F$62)+(G34*G$62)+(H34*H$62)+(I34*I$62)</f>
        <v>50</v>
      </c>
      <c r="K34" s="15" t="s">
        <v>258</v>
      </c>
      <c r="L34" s="20" t="s">
        <v>258</v>
      </c>
      <c r="M34" s="20" t="s">
        <v>258</v>
      </c>
      <c r="N34" s="20"/>
      <c r="O34" s="20"/>
      <c r="P34" s="1"/>
      <c r="Q34" s="1"/>
      <c r="R34" s="17">
        <f>SUM(K34:Q34)</f>
        <v>0</v>
      </c>
      <c r="T34" s="14">
        <f>R34+J34</f>
        <v>50</v>
      </c>
      <c r="V34" s="28">
        <v>3</v>
      </c>
      <c r="W34" s="44">
        <v>45753</v>
      </c>
      <c r="X34" s="28">
        <v>2060</v>
      </c>
      <c r="Y34" s="28">
        <v>-650</v>
      </c>
      <c r="Z34" s="28">
        <v>-775</v>
      </c>
      <c r="AA34" s="28">
        <v>-635</v>
      </c>
    </row>
    <row r="35" spans="2:32" x14ac:dyDescent="0.3">
      <c r="B35" s="67"/>
      <c r="C35" s="4" t="s">
        <v>45</v>
      </c>
      <c r="D35" s="18">
        <v>38</v>
      </c>
      <c r="E35" s="1"/>
      <c r="F35" s="1"/>
      <c r="G35" s="1"/>
      <c r="H35" s="1"/>
      <c r="I35" s="1"/>
      <c r="J35" s="19">
        <f>(D35*D$62)+(E35*E$62)+(F35*F$62)+(G35*G$62)+(H35*H$62)+(I35*I$62)</f>
        <v>190</v>
      </c>
      <c r="K35" s="15">
        <v>50</v>
      </c>
      <c r="L35" s="20" t="s">
        <v>258</v>
      </c>
      <c r="M35" s="20" t="s">
        <v>258</v>
      </c>
      <c r="N35" s="20"/>
      <c r="O35" s="20"/>
      <c r="P35" s="1"/>
      <c r="Q35" s="1"/>
      <c r="R35" s="17">
        <f>SUM(K35:Q35)</f>
        <v>50</v>
      </c>
      <c r="T35" s="14">
        <f>R35+J35</f>
        <v>240</v>
      </c>
      <c r="V35" s="28">
        <v>4</v>
      </c>
      <c r="W35" s="44">
        <v>45754</v>
      </c>
      <c r="X35" s="28">
        <v>330</v>
      </c>
      <c r="Y35" s="28">
        <v>-330</v>
      </c>
      <c r="Z35" s="28">
        <v>330</v>
      </c>
      <c r="AA35" s="28">
        <v>-330</v>
      </c>
      <c r="AE35" s="50" t="s">
        <v>5</v>
      </c>
      <c r="AF35" s="50" t="s">
        <v>235</v>
      </c>
    </row>
    <row r="36" spans="2:32" ht="15" thickBot="1" x14ac:dyDescent="0.35">
      <c r="B36" s="68"/>
      <c r="C36" s="21" t="s">
        <v>200</v>
      </c>
      <c r="D36" s="9"/>
      <c r="E36" s="10">
        <v>1</v>
      </c>
      <c r="F36" s="10"/>
      <c r="G36" s="10"/>
      <c r="H36" s="10"/>
      <c r="I36" s="10"/>
      <c r="J36" s="11">
        <f>(D36*D$62)+(E36*E$62)+(F36*F$62)+(G36*G$62)+(H36*H$62)+(I36*I$62)</f>
        <v>100</v>
      </c>
      <c r="K36" s="12" t="s">
        <v>258</v>
      </c>
      <c r="L36" s="12" t="s">
        <v>258</v>
      </c>
      <c r="M36" s="12" t="s">
        <v>258</v>
      </c>
      <c r="N36" s="12"/>
      <c r="O36" s="12"/>
      <c r="P36" s="10"/>
      <c r="Q36" s="10"/>
      <c r="R36" s="13">
        <f>SUM(K36:Q36)</f>
        <v>0</v>
      </c>
      <c r="T36" s="22">
        <f>(R36+J36)</f>
        <v>100</v>
      </c>
      <c r="V36" s="28">
        <v>5</v>
      </c>
      <c r="W36" s="29">
        <v>45755</v>
      </c>
      <c r="X36" s="28">
        <v>4760</v>
      </c>
      <c r="Y36" s="28">
        <v>-720</v>
      </c>
      <c r="Z36" s="28">
        <v>-2345</v>
      </c>
      <c r="AA36" s="28">
        <v>-1695</v>
      </c>
      <c r="AE36" s="28" t="s">
        <v>211</v>
      </c>
      <c r="AF36" s="28">
        <f>T37</f>
        <v>645</v>
      </c>
    </row>
    <row r="37" spans="2:32" ht="15" thickBot="1" x14ac:dyDescent="0.35">
      <c r="T37" s="37">
        <f>SUM(T32:T36)</f>
        <v>645</v>
      </c>
      <c r="V37" s="28">
        <v>6</v>
      </c>
      <c r="W37" s="29">
        <v>45755</v>
      </c>
      <c r="X37" s="28">
        <v>3530</v>
      </c>
      <c r="Y37" s="28">
        <v>-1475</v>
      </c>
      <c r="Z37" s="28">
        <v>-1200</v>
      </c>
      <c r="AA37" s="28">
        <v>-855</v>
      </c>
      <c r="AE37" s="28" t="s">
        <v>96</v>
      </c>
      <c r="AF37" s="28">
        <f>T43</f>
        <v>860</v>
      </c>
    </row>
    <row r="38" spans="2:32" x14ac:dyDescent="0.3">
      <c r="B38" s="66" t="s">
        <v>96</v>
      </c>
      <c r="C38" s="39" t="s">
        <v>46</v>
      </c>
      <c r="D38" s="23">
        <v>37</v>
      </c>
      <c r="E38" s="6"/>
      <c r="F38" s="6"/>
      <c r="G38" s="6"/>
      <c r="H38" s="6"/>
      <c r="I38" s="6"/>
      <c r="J38" s="7">
        <f>(D38*D$62)+(E38*E$62)+(F38*F$62)+(G38*G$62)+(H38*H$62)+(I38*I$62)</f>
        <v>185</v>
      </c>
      <c r="K38" s="5">
        <v>50</v>
      </c>
      <c r="L38" s="23" t="s">
        <v>258</v>
      </c>
      <c r="M38" s="23" t="s">
        <v>258</v>
      </c>
      <c r="N38" s="23"/>
      <c r="O38" s="23"/>
      <c r="P38" s="6"/>
      <c r="Q38" s="6"/>
      <c r="R38" s="24">
        <f>SUM(K38:Q38)</f>
        <v>50</v>
      </c>
      <c r="T38" s="33">
        <f>(R38+J38)*2</f>
        <v>470</v>
      </c>
      <c r="V38" s="28">
        <v>7</v>
      </c>
      <c r="W38" s="29">
        <v>45756</v>
      </c>
      <c r="X38" s="28">
        <v>3315</v>
      </c>
      <c r="Y38" s="28">
        <v>-755</v>
      </c>
      <c r="Z38" s="28">
        <v>-935</v>
      </c>
      <c r="AA38" s="28">
        <v>-1625</v>
      </c>
      <c r="AE38" s="28" t="s">
        <v>97</v>
      </c>
      <c r="AF38" s="28">
        <f>T49</f>
        <v>2450</v>
      </c>
    </row>
    <row r="39" spans="2:32" x14ac:dyDescent="0.3">
      <c r="B39" s="67"/>
      <c r="C39" s="19" t="s">
        <v>160</v>
      </c>
      <c r="D39" s="20">
        <v>1</v>
      </c>
      <c r="E39" s="1"/>
      <c r="F39" s="1"/>
      <c r="G39" s="1"/>
      <c r="H39" s="1"/>
      <c r="I39" s="1"/>
      <c r="J39" s="19">
        <f>(D39*D$62)+(E39*E$62)+(F39*F$62)+(G39*G$62)+(H39*H$62)+(I39*I$62)</f>
        <v>5</v>
      </c>
      <c r="K39" s="43" t="s">
        <v>258</v>
      </c>
      <c r="L39" s="20" t="s">
        <v>258</v>
      </c>
      <c r="M39" s="20" t="s">
        <v>258</v>
      </c>
      <c r="N39" s="20"/>
      <c r="O39" s="20"/>
      <c r="P39" s="1"/>
      <c r="Q39" s="1"/>
      <c r="R39" s="17">
        <f>SUM(K39:Q39)</f>
        <v>0</v>
      </c>
      <c r="T39" s="14">
        <f>R39+J39</f>
        <v>5</v>
      </c>
      <c r="V39" s="28">
        <v>8</v>
      </c>
      <c r="W39" s="29">
        <v>45757</v>
      </c>
      <c r="X39" s="28">
        <v>-1805</v>
      </c>
      <c r="Y39" s="28">
        <v>-1590</v>
      </c>
      <c r="Z39" s="28">
        <v>5320</v>
      </c>
      <c r="AA39" s="28">
        <v>-1925</v>
      </c>
      <c r="AE39" s="28" t="s">
        <v>98</v>
      </c>
      <c r="AF39" s="28">
        <f>T55</f>
        <v>525</v>
      </c>
    </row>
    <row r="40" spans="2:32" x14ac:dyDescent="0.3">
      <c r="B40" s="67"/>
      <c r="C40" s="19" t="s">
        <v>71</v>
      </c>
      <c r="D40" s="20">
        <v>7</v>
      </c>
      <c r="E40" s="1"/>
      <c r="F40" s="1"/>
      <c r="G40" s="1"/>
      <c r="H40" s="1"/>
      <c r="I40" s="1"/>
      <c r="J40" s="19">
        <f>(D40*D$62)+(E40*E$62)+(F40*F$62)+(G40*G$62)+(H40*H$62)+(I40*I$62)</f>
        <v>35</v>
      </c>
      <c r="K40" s="43" t="s">
        <v>258</v>
      </c>
      <c r="L40" s="20" t="s">
        <v>258</v>
      </c>
      <c r="M40" s="20" t="s">
        <v>258</v>
      </c>
      <c r="N40" s="20"/>
      <c r="O40" s="20"/>
      <c r="P40" s="1"/>
      <c r="Q40" s="1"/>
      <c r="R40" s="17">
        <f>SUM(K40:Q40)</f>
        <v>0</v>
      </c>
      <c r="T40" s="14">
        <f>R40+J40</f>
        <v>35</v>
      </c>
      <c r="V40" s="28"/>
      <c r="W40" s="29"/>
      <c r="X40" s="28"/>
      <c r="Y40" s="28"/>
      <c r="Z40" s="28"/>
      <c r="AA40" s="28"/>
    </row>
    <row r="41" spans="2:32" x14ac:dyDescent="0.3">
      <c r="B41" s="67"/>
      <c r="C41" s="19" t="s">
        <v>41</v>
      </c>
      <c r="D41" s="20"/>
      <c r="E41" s="1">
        <v>2</v>
      </c>
      <c r="F41" s="1"/>
      <c r="G41" s="1"/>
      <c r="H41" s="1"/>
      <c r="I41" s="1"/>
      <c r="J41" s="19">
        <f>(D41*D$62)+(E41*E$62)+(F41*F$62)+(G41*G$62)+(H41*H$62)+(I41*I$62)</f>
        <v>200</v>
      </c>
      <c r="K41" s="43" t="s">
        <v>258</v>
      </c>
      <c r="L41" s="20">
        <v>50</v>
      </c>
      <c r="M41" s="20" t="s">
        <v>258</v>
      </c>
      <c r="N41" s="20"/>
      <c r="O41" s="20"/>
      <c r="P41" s="1"/>
      <c r="Q41" s="1"/>
      <c r="R41" s="17">
        <f>SUM(K41:Q41)</f>
        <v>50</v>
      </c>
      <c r="T41" s="14">
        <f>R41+J41</f>
        <v>250</v>
      </c>
      <c r="V41" s="28"/>
      <c r="W41" s="29"/>
      <c r="X41" s="28"/>
      <c r="Y41" s="28"/>
      <c r="Z41" s="28"/>
      <c r="AA41" s="28"/>
    </row>
    <row r="42" spans="2:32" ht="15" thickBot="1" x14ac:dyDescent="0.35">
      <c r="B42" s="68"/>
      <c r="C42" s="11" t="s">
        <v>223</v>
      </c>
      <c r="D42" s="12"/>
      <c r="E42" s="10"/>
      <c r="F42" s="10"/>
      <c r="G42" s="10"/>
      <c r="H42" s="10">
        <v>2</v>
      </c>
      <c r="I42" s="10"/>
      <c r="J42" s="11">
        <f>(D42*D$62)+(E42*E$62)+(F42*F$62)+(G42*G$62)+(H42*H$62)+(I42*I$62)</f>
        <v>100</v>
      </c>
      <c r="K42" s="9" t="s">
        <v>258</v>
      </c>
      <c r="L42" s="12" t="s">
        <v>258</v>
      </c>
      <c r="M42" s="12" t="s">
        <v>258</v>
      </c>
      <c r="N42" s="12"/>
      <c r="O42" s="12"/>
      <c r="P42" s="10"/>
      <c r="Q42" s="10"/>
      <c r="R42" s="13">
        <f>SUM(K42:Q42)</f>
        <v>0</v>
      </c>
      <c r="T42" s="34">
        <f>R42+J42</f>
        <v>100</v>
      </c>
      <c r="V42" s="28"/>
      <c r="W42" s="29"/>
      <c r="X42" s="28"/>
      <c r="Y42" s="28"/>
      <c r="Z42" s="28"/>
      <c r="AA42" s="28"/>
    </row>
    <row r="43" spans="2:32" ht="15" thickBot="1" x14ac:dyDescent="0.35">
      <c r="T43" s="37">
        <f>SUM(T38:T42)</f>
        <v>860</v>
      </c>
      <c r="V43" s="28"/>
      <c r="W43" s="29"/>
      <c r="X43" s="28"/>
      <c r="Y43" s="28"/>
      <c r="Z43" s="28"/>
      <c r="AA43" s="28"/>
    </row>
    <row r="44" spans="2:32" x14ac:dyDescent="0.3">
      <c r="B44" s="66" t="s">
        <v>97</v>
      </c>
      <c r="C44" s="39" t="s">
        <v>256</v>
      </c>
      <c r="D44" s="23">
        <v>93</v>
      </c>
      <c r="E44" s="6"/>
      <c r="F44" s="6">
        <v>1</v>
      </c>
      <c r="G44" s="6"/>
      <c r="H44" s="6">
        <v>2</v>
      </c>
      <c r="I44" s="6"/>
      <c r="J44" s="7">
        <f>(D44*D$62)+(E44*E$62)+(F44*F$62)+(G44*G$62)+(H44*H$62)+(I44*I$62)</f>
        <v>615</v>
      </c>
      <c r="K44" s="5">
        <v>150</v>
      </c>
      <c r="L44" s="23" t="s">
        <v>258</v>
      </c>
      <c r="M44" s="23" t="s">
        <v>258</v>
      </c>
      <c r="N44" s="23"/>
      <c r="O44" s="23">
        <v>150</v>
      </c>
      <c r="P44" s="6"/>
      <c r="Q44" s="6"/>
      <c r="R44" s="24">
        <f>SUM(K44:Q44)</f>
        <v>300</v>
      </c>
      <c r="T44" s="33">
        <f>(R44+J44)*2</f>
        <v>1830</v>
      </c>
      <c r="V44" s="28"/>
      <c r="W44" s="29"/>
      <c r="X44" s="28"/>
      <c r="Y44" s="28"/>
      <c r="Z44" s="28"/>
      <c r="AA44" s="28"/>
    </row>
    <row r="45" spans="2:32" x14ac:dyDescent="0.3">
      <c r="B45" s="67"/>
      <c r="C45" s="19" t="s">
        <v>40</v>
      </c>
      <c r="D45" s="20">
        <v>4</v>
      </c>
      <c r="E45" s="1"/>
      <c r="F45" s="1"/>
      <c r="G45" s="1"/>
      <c r="H45" s="1"/>
      <c r="I45" s="1"/>
      <c r="J45" s="19">
        <f>(D45*D$62)+(E45*E$62)+(F45*F$62)+(G45*G$62)+(H45*H$62)+(I45*I$62)</f>
        <v>20</v>
      </c>
      <c r="K45" s="43" t="s">
        <v>258</v>
      </c>
      <c r="L45" s="20" t="s">
        <v>258</v>
      </c>
      <c r="M45" s="20" t="s">
        <v>258</v>
      </c>
      <c r="N45" s="20"/>
      <c r="O45" s="20"/>
      <c r="P45" s="1"/>
      <c r="Q45" s="1"/>
      <c r="R45" s="17">
        <f>SUM(K45:Q45)</f>
        <v>0</v>
      </c>
      <c r="T45" s="14">
        <f>R45+J45</f>
        <v>20</v>
      </c>
      <c r="V45" s="28"/>
      <c r="W45" s="29"/>
      <c r="X45" s="28"/>
      <c r="Y45" s="28"/>
      <c r="Z45" s="28"/>
      <c r="AA45" s="28"/>
    </row>
    <row r="46" spans="2:32" x14ac:dyDescent="0.3">
      <c r="B46" s="67"/>
      <c r="C46" s="19" t="s">
        <v>100</v>
      </c>
      <c r="D46" s="20"/>
      <c r="E46" s="1"/>
      <c r="F46" s="1"/>
      <c r="G46" s="1"/>
      <c r="H46" s="1"/>
      <c r="I46" s="1"/>
      <c r="J46" s="19">
        <f>(D46*D$62)+(E46*E$62)+(F46*F$62)+(G46*G$62)+(H46*H$62)+(I46*I$62)</f>
        <v>0</v>
      </c>
      <c r="K46" s="43" t="s">
        <v>258</v>
      </c>
      <c r="L46" s="20" t="s">
        <v>258</v>
      </c>
      <c r="M46" s="20" t="s">
        <v>258</v>
      </c>
      <c r="N46" s="20"/>
      <c r="O46" s="20"/>
      <c r="P46" s="1"/>
      <c r="Q46" s="1"/>
      <c r="R46" s="17">
        <f>SUM(K46:Q46)</f>
        <v>0</v>
      </c>
      <c r="T46" s="14">
        <f>R46+J46</f>
        <v>0</v>
      </c>
      <c r="V46" s="28"/>
      <c r="W46" s="29"/>
      <c r="X46" s="28"/>
      <c r="Y46" s="28"/>
      <c r="Z46" s="28"/>
      <c r="AA46" s="28"/>
    </row>
    <row r="47" spans="2:32" x14ac:dyDescent="0.3">
      <c r="B47" s="67"/>
      <c r="C47" s="19" t="s">
        <v>62</v>
      </c>
      <c r="D47" s="20"/>
      <c r="E47" s="1">
        <v>1</v>
      </c>
      <c r="F47" s="1"/>
      <c r="G47" s="1"/>
      <c r="H47" s="1"/>
      <c r="I47" s="1"/>
      <c r="J47" s="19">
        <f>(D47*D$62)+(E47*E$62)+(F47*F$62)+(G47*G$62)+(H47*H$62)+(I47*I$62)</f>
        <v>100</v>
      </c>
      <c r="K47" s="43" t="s">
        <v>258</v>
      </c>
      <c r="L47" s="20" t="s">
        <v>258</v>
      </c>
      <c r="M47" s="20" t="s">
        <v>258</v>
      </c>
      <c r="N47" s="20"/>
      <c r="O47" s="20"/>
      <c r="P47" s="1"/>
      <c r="Q47" s="1">
        <v>200</v>
      </c>
      <c r="R47" s="17">
        <f>SUM(K47:Q47)</f>
        <v>200</v>
      </c>
      <c r="T47" s="14">
        <f>R47+J47</f>
        <v>300</v>
      </c>
      <c r="V47" s="28"/>
      <c r="W47" s="29"/>
      <c r="X47" s="28"/>
      <c r="Y47" s="28"/>
      <c r="Z47" s="28"/>
      <c r="AA47" s="28"/>
    </row>
    <row r="48" spans="2:32" ht="15" thickBot="1" x14ac:dyDescent="0.35">
      <c r="B48" s="68"/>
      <c r="C48" s="11" t="s">
        <v>175</v>
      </c>
      <c r="D48" s="12"/>
      <c r="E48" s="10">
        <v>2</v>
      </c>
      <c r="F48" s="10">
        <v>1</v>
      </c>
      <c r="G48" s="10"/>
      <c r="H48" s="10"/>
      <c r="I48" s="10"/>
      <c r="J48" s="11">
        <f>(D48*D$62)+(E48*E$62)+(F48*F$62)+(G48*G$62)+(H48*H$62)+(I48*I$62)</f>
        <v>250</v>
      </c>
      <c r="K48" s="9" t="s">
        <v>258</v>
      </c>
      <c r="L48" s="20">
        <v>50</v>
      </c>
      <c r="M48" s="12" t="s">
        <v>258</v>
      </c>
      <c r="N48" s="12"/>
      <c r="O48" s="12"/>
      <c r="P48" s="10"/>
      <c r="Q48" s="10"/>
      <c r="R48" s="13">
        <f>SUM(K48:Q48)</f>
        <v>50</v>
      </c>
      <c r="T48" s="34">
        <f>R48+J48</f>
        <v>300</v>
      </c>
      <c r="V48" s="28"/>
      <c r="W48" s="29"/>
      <c r="X48" s="28"/>
      <c r="Y48" s="28"/>
      <c r="Z48" s="28"/>
      <c r="AA48" s="28"/>
    </row>
    <row r="49" spans="2:27" ht="15" thickBot="1" x14ac:dyDescent="0.35">
      <c r="T49" s="37">
        <f>SUM(T44:T48)</f>
        <v>2450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20</v>
      </c>
      <c r="D50" s="23">
        <v>2</v>
      </c>
      <c r="E50" s="6"/>
      <c r="F50" s="6"/>
      <c r="G50" s="6"/>
      <c r="H50" s="6"/>
      <c r="I50" s="6"/>
      <c r="J50" s="7">
        <f>(D50*D$62)+(E50*E$62)+(F50*F$62)+(G50*G$62)+(H50*H$62)+(I50*I$62)</f>
        <v>10</v>
      </c>
      <c r="K50" s="5" t="s">
        <v>258</v>
      </c>
      <c r="L50" s="23" t="s">
        <v>258</v>
      </c>
      <c r="M50" s="23" t="s">
        <v>258</v>
      </c>
      <c r="N50" s="23"/>
      <c r="O50" s="23"/>
      <c r="P50" s="6"/>
      <c r="Q50" s="6"/>
      <c r="R50" s="24">
        <f>SUM(K50:Q50)</f>
        <v>0</v>
      </c>
      <c r="T50" s="33">
        <f>(R50+J50)*2</f>
        <v>20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35</v>
      </c>
      <c r="D51" s="20">
        <v>25</v>
      </c>
      <c r="E51" s="1"/>
      <c r="F51" s="1"/>
      <c r="G51" s="1"/>
      <c r="H51" s="1">
        <v>1</v>
      </c>
      <c r="I51" s="1"/>
      <c r="J51" s="19">
        <f>(D51*D$62)+(E51*E$62)+(F51*F$62)+(G51*G$62)+(H51*H$62)+(I51*I$62)</f>
        <v>175</v>
      </c>
      <c r="K51" s="43" t="s">
        <v>258</v>
      </c>
      <c r="L51" s="20" t="s">
        <v>258</v>
      </c>
      <c r="M51" s="20" t="s">
        <v>258</v>
      </c>
      <c r="N51" s="20"/>
      <c r="O51" s="20"/>
      <c r="P51" s="1"/>
      <c r="Q51" s="1"/>
      <c r="R51" s="17">
        <f>SUM(K51:Q51)</f>
        <v>0</v>
      </c>
      <c r="T51" s="14">
        <f>R51+J51</f>
        <v>175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44</v>
      </c>
      <c r="D52" s="20">
        <v>15</v>
      </c>
      <c r="E52" s="1"/>
      <c r="F52" s="1"/>
      <c r="G52" s="1"/>
      <c r="H52" s="1">
        <v>1</v>
      </c>
      <c r="I52" s="1"/>
      <c r="J52" s="19">
        <f>(D52*D$62)+(E52*E$62)+(F52*F$62)+(G52*G$62)+(H52*H$62)+(I52*I$62)</f>
        <v>125</v>
      </c>
      <c r="K52" s="43" t="s">
        <v>258</v>
      </c>
      <c r="L52" s="20" t="s">
        <v>258</v>
      </c>
      <c r="M52" s="20" t="s">
        <v>258</v>
      </c>
      <c r="N52" s="20"/>
      <c r="O52" s="20"/>
      <c r="P52" s="1"/>
      <c r="Q52" s="1"/>
      <c r="R52" s="17">
        <f>SUM(K52:Q52)</f>
        <v>0</v>
      </c>
      <c r="T52" s="14">
        <f>R52+J52</f>
        <v>125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65</v>
      </c>
      <c r="D53" s="20">
        <v>3</v>
      </c>
      <c r="E53" s="1"/>
      <c r="F53" s="1"/>
      <c r="G53" s="1"/>
      <c r="H53" s="1">
        <v>2</v>
      </c>
      <c r="I53" s="1"/>
      <c r="J53" s="19">
        <f>(D53*D$62)+(E53*E$62)+(F53*F$62)+(G53*G$62)+(H53*H$62)+(I53*I$62)</f>
        <v>115</v>
      </c>
      <c r="K53" s="43" t="s">
        <v>258</v>
      </c>
      <c r="L53" s="20" t="s">
        <v>258</v>
      </c>
      <c r="M53" s="20" t="s">
        <v>258</v>
      </c>
      <c r="N53" s="20"/>
      <c r="O53" s="20"/>
      <c r="P53" s="1"/>
      <c r="Q53" s="1"/>
      <c r="R53" s="17">
        <f>SUM(K53:Q53)</f>
        <v>0</v>
      </c>
      <c r="T53" s="14">
        <f>R53+J53</f>
        <v>115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257</v>
      </c>
      <c r="D54" s="12">
        <v>18</v>
      </c>
      <c r="E54" s="10"/>
      <c r="F54" s="10"/>
      <c r="G54" s="10"/>
      <c r="H54" s="10"/>
      <c r="I54" s="10"/>
      <c r="J54" s="11">
        <f>(D54*D$62)+(E54*E$62)+(F54*F$62)+(G54*G$62)+(H54*H$62)+(I54*I$62)</f>
        <v>90</v>
      </c>
      <c r="K54" s="9" t="s">
        <v>258</v>
      </c>
      <c r="L54" s="12" t="s">
        <v>258</v>
      </c>
      <c r="M54" s="12" t="s">
        <v>258</v>
      </c>
      <c r="N54" s="12"/>
      <c r="O54" s="12"/>
      <c r="P54" s="10"/>
      <c r="Q54" s="10"/>
      <c r="R54" s="13">
        <f>SUM(K54:Q54)</f>
        <v>0</v>
      </c>
      <c r="T54" s="34">
        <f>R54+J54</f>
        <v>90</v>
      </c>
      <c r="V54" s="28"/>
      <c r="W54" s="29"/>
      <c r="X54" s="28"/>
      <c r="Y54" s="28"/>
      <c r="Z54" s="28"/>
      <c r="AA54" s="28"/>
    </row>
    <row r="55" spans="2:27" ht="15" thickBot="1" x14ac:dyDescent="0.35">
      <c r="T55" s="37">
        <f>SUM(T50:T54)</f>
        <v>525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13105</v>
      </c>
      <c r="Y63" s="42">
        <f>SUM(Y64:Y71)</f>
        <v>-5025</v>
      </c>
      <c r="Z63" s="42">
        <f>SUM(Z64:Z71)</f>
        <v>-5480</v>
      </c>
      <c r="AA63" s="42">
        <f>SUM(AA64:AA71)</f>
        <v>-2600</v>
      </c>
    </row>
    <row r="64" spans="2:27" x14ac:dyDescent="0.3">
      <c r="B64" s="66" t="s">
        <v>211</v>
      </c>
      <c r="C64" s="38" t="s">
        <v>248</v>
      </c>
      <c r="D64" s="5">
        <v>69</v>
      </c>
      <c r="E64" s="6"/>
      <c r="F64" s="6"/>
      <c r="G64" s="6"/>
      <c r="H64" s="6">
        <v>1</v>
      </c>
      <c r="I64" s="6"/>
      <c r="J64" s="7">
        <f>(D64*D$62)+(E64*E$62)+(F64*F$62)+(G64*G$62)+(H64*H$62)+(I64*I$62)</f>
        <v>395</v>
      </c>
      <c r="K64" s="15">
        <f>IF(D64&gt;=100, 250, IF(D64&gt;=50, 150, IF(D64&gt;=30, 50, "")))</f>
        <v>150</v>
      </c>
      <c r="L64" s="15" t="str">
        <f>IF(E64=5, 200, IF(E64=3, 150, IF(E64=2, 50, "")))</f>
        <v/>
      </c>
      <c r="M64" s="15" t="str">
        <f>IF(H64=3,100,IF(H64=5,200,""))</f>
        <v/>
      </c>
      <c r="N64" s="15"/>
      <c r="O64" s="15"/>
      <c r="P64" s="16"/>
      <c r="Q64" s="16"/>
      <c r="R64" s="17">
        <f>SUM(K64:Q64)</f>
        <v>150</v>
      </c>
      <c r="T64" s="14">
        <f>(R64+J64)*2</f>
        <v>1090</v>
      </c>
      <c r="V64" s="28">
        <v>1</v>
      </c>
      <c r="W64" s="29">
        <v>45752</v>
      </c>
      <c r="X64" s="28">
        <v>3045</v>
      </c>
      <c r="Y64" s="28">
        <v>-1065</v>
      </c>
      <c r="Z64" s="28">
        <v>-1060</v>
      </c>
      <c r="AA64" s="28">
        <v>-920</v>
      </c>
    </row>
    <row r="65" spans="2:27" x14ac:dyDescent="0.3">
      <c r="B65" s="67"/>
      <c r="C65" s="4" t="s">
        <v>249</v>
      </c>
      <c r="D65" s="18">
        <v>1</v>
      </c>
      <c r="E65" s="1">
        <v>1</v>
      </c>
      <c r="F65" s="1"/>
      <c r="G65" s="1"/>
      <c r="H65" s="1"/>
      <c r="I65" s="1"/>
      <c r="J65" s="19">
        <f>(D65*D$62)+(E65*E$62)+(F65*F$62)+(G65*G$62)+(H65*H$62)+(I65*I$62)</f>
        <v>105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105</v>
      </c>
      <c r="V65" s="28">
        <v>2</v>
      </c>
      <c r="W65" s="29">
        <v>45752</v>
      </c>
      <c r="X65" s="45">
        <v>-620</v>
      </c>
      <c r="Y65" s="45">
        <v>-785</v>
      </c>
      <c r="Z65" s="45">
        <v>-430</v>
      </c>
      <c r="AA65" s="45">
        <v>1835</v>
      </c>
    </row>
    <row r="66" spans="2:27" x14ac:dyDescent="0.3">
      <c r="B66" s="67"/>
      <c r="C66" s="4" t="s">
        <v>66</v>
      </c>
      <c r="D66" s="18">
        <v>42</v>
      </c>
      <c r="E66" s="1"/>
      <c r="F66" s="1"/>
      <c r="G66" s="1"/>
      <c r="H66" s="1"/>
      <c r="I66" s="1"/>
      <c r="J66" s="19">
        <f>(D66*D$62)+(E66*E$62)+(F66*F$62)+(G66*G$62)+(H66*H$62)+(I66*I$62)</f>
        <v>210</v>
      </c>
      <c r="K66" s="15">
        <f>IF(D66&gt;=100, 250, IF(D66&gt;=50, 150, IF(D66&gt;=30, 50, "")))</f>
        <v>50</v>
      </c>
      <c r="L66" s="20" t="str">
        <f>IF(E66=5, 200, IF(E66=3, 150, IF(E66=2, 50, "")))</f>
        <v/>
      </c>
      <c r="M66" s="20" t="str">
        <f>IF(H66=3,100,IF(H66=5,200,""))</f>
        <v/>
      </c>
      <c r="N66" s="20"/>
      <c r="O66" s="20"/>
      <c r="P66" s="1"/>
      <c r="Q66" s="1"/>
      <c r="R66" s="17">
        <f>SUM(K66:Q66)</f>
        <v>50</v>
      </c>
      <c r="T66" s="14">
        <f>R66+J66</f>
        <v>260</v>
      </c>
      <c r="V66" s="28">
        <v>3</v>
      </c>
      <c r="W66" s="44">
        <v>45753</v>
      </c>
      <c r="X66" s="28">
        <v>2060</v>
      </c>
      <c r="Y66" s="28">
        <v>-650</v>
      </c>
      <c r="Z66" s="28">
        <v>-775</v>
      </c>
      <c r="AA66" s="28">
        <v>-635</v>
      </c>
    </row>
    <row r="67" spans="2:27" x14ac:dyDescent="0.3">
      <c r="B67" s="67"/>
      <c r="C67" s="4" t="s">
        <v>250</v>
      </c>
      <c r="D67" s="18">
        <v>34</v>
      </c>
      <c r="E67" s="1"/>
      <c r="F67" s="1"/>
      <c r="G67" s="1"/>
      <c r="H67" s="1"/>
      <c r="I67" s="1"/>
      <c r="J67" s="19">
        <f>(D67*D$62)+(E67*E$62)+(F67*F$62)+(G67*G$62)+(H67*H$62)+(I67*I$62)</f>
        <v>170</v>
      </c>
      <c r="K67" s="15">
        <f>IF(D67&gt;=100, 250, IF(D67&gt;=50, 150, IF(D67&gt;=30, 50, "")))</f>
        <v>50</v>
      </c>
      <c r="L67" s="20" t="str">
        <f>IF(E67=5, 200, IF(E67=3, 150, IF(E67=2, 50, "")))</f>
        <v/>
      </c>
      <c r="M67" s="20" t="str">
        <f>IF(H67=3,100,IF(H67=5,200,""))</f>
        <v/>
      </c>
      <c r="N67" s="20"/>
      <c r="O67" s="20"/>
      <c r="P67" s="1"/>
      <c r="Q67" s="1"/>
      <c r="R67" s="17">
        <f>SUM(K67:Q67)</f>
        <v>50</v>
      </c>
      <c r="T67" s="14">
        <f>R67+J67</f>
        <v>220</v>
      </c>
      <c r="V67" s="28">
        <v>4</v>
      </c>
      <c r="W67" s="44">
        <v>45754</v>
      </c>
      <c r="X67" s="28">
        <v>330</v>
      </c>
      <c r="Y67" s="28">
        <v>-330</v>
      </c>
      <c r="Z67" s="28">
        <v>330</v>
      </c>
      <c r="AA67" s="28">
        <v>-330</v>
      </c>
    </row>
    <row r="68" spans="2:27" ht="15" thickBot="1" x14ac:dyDescent="0.35">
      <c r="B68" s="68"/>
      <c r="C68" s="21" t="s">
        <v>68</v>
      </c>
      <c r="D68" s="9"/>
      <c r="E68" s="10">
        <v>2</v>
      </c>
      <c r="F68" s="10"/>
      <c r="G68" s="10"/>
      <c r="H68" s="10">
        <v>1</v>
      </c>
      <c r="I68" s="10"/>
      <c r="J68" s="11">
        <f>(D68*D$62)+(E68*E$62)+(F68*F$62)+(G68*G$62)+(H68*H$62)+(I68*I$62)</f>
        <v>250</v>
      </c>
      <c r="K68" s="12" t="str">
        <f>IF(D68&gt;=100, 250, IF(D68&gt;=50, 150, IF(D68&gt;=30, 50, "")))</f>
        <v/>
      </c>
      <c r="L68" s="12">
        <f>IF(E68=5, 200, IF(E68=3, 150, IF(E68=2, 50, "")))</f>
        <v>50</v>
      </c>
      <c r="M68" s="12" t="str">
        <f>IF(H68=3,100,IF(H68=5,200,""))</f>
        <v/>
      </c>
      <c r="N68" s="12"/>
      <c r="O68" s="12"/>
      <c r="P68" s="10"/>
      <c r="Q68" s="10"/>
      <c r="R68" s="13">
        <f>SUM(K68:Q68)</f>
        <v>50</v>
      </c>
      <c r="T68" s="22">
        <f>(R68+J68)</f>
        <v>300</v>
      </c>
      <c r="V68" s="28">
        <v>5</v>
      </c>
      <c r="W68" s="29">
        <v>45755</v>
      </c>
      <c r="X68" s="28">
        <v>4760</v>
      </c>
      <c r="Y68" s="28">
        <v>-720</v>
      </c>
      <c r="Z68" s="28">
        <v>-2345</v>
      </c>
      <c r="AA68" s="28">
        <v>-1695</v>
      </c>
    </row>
    <row r="69" spans="2:27" ht="15" thickBot="1" x14ac:dyDescent="0.35">
      <c r="T69" s="37">
        <f>SUM(T64:T68)</f>
        <v>1975</v>
      </c>
      <c r="V69" s="28">
        <v>6</v>
      </c>
      <c r="W69" s="29">
        <v>45755</v>
      </c>
      <c r="X69" s="28">
        <f>-(Y69+Z69+AA69)</f>
        <v>3530</v>
      </c>
      <c r="Y69" s="28">
        <f>T75-T69</f>
        <v>-1475</v>
      </c>
      <c r="Z69" s="28">
        <f>T81-T69</f>
        <v>-1200</v>
      </c>
      <c r="AA69" s="28">
        <f>T87-T69</f>
        <v>-855</v>
      </c>
    </row>
    <row r="70" spans="2:27" x14ac:dyDescent="0.3">
      <c r="B70" s="66" t="s">
        <v>96</v>
      </c>
      <c r="C70" s="39" t="s">
        <v>129</v>
      </c>
      <c r="D70" s="23">
        <v>9</v>
      </c>
      <c r="E70" s="6"/>
      <c r="F70" s="6"/>
      <c r="G70" s="6"/>
      <c r="H70" s="6"/>
      <c r="I70" s="6"/>
      <c r="J70" s="7">
        <f>(D70*D$62)+(E70*E$62)+(F70*F$62)+(G70*G$62)+(H70*H$62)+(I70*I$62)</f>
        <v>45</v>
      </c>
      <c r="K70" s="5" t="str">
        <f>IF(D70&gt;=100, 250, IF(D70&gt;=50, 150, IF(D70&gt;=30, 50, "")))</f>
        <v/>
      </c>
      <c r="L70" s="23" t="str">
        <f>IF(E70=5, 200, IF(E70=3, 150, IF(E70=2, 50, "")))</f>
        <v/>
      </c>
      <c r="M70" s="23" t="str">
        <f>IF(H70=3,100,IF(H70=5,200,""))</f>
        <v/>
      </c>
      <c r="N70" s="23"/>
      <c r="O70" s="23"/>
      <c r="P70" s="6"/>
      <c r="Q70" s="6"/>
      <c r="R70" s="24">
        <f>SUM(K70:Q70)</f>
        <v>0</v>
      </c>
      <c r="T70" s="33">
        <f>(R70+J70)*2</f>
        <v>90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 t="s">
        <v>134</v>
      </c>
      <c r="D71" s="20">
        <v>0</v>
      </c>
      <c r="E71" s="1"/>
      <c r="F71" s="1"/>
      <c r="G71" s="1">
        <v>1</v>
      </c>
      <c r="H71" s="1"/>
      <c r="I71" s="1">
        <v>1</v>
      </c>
      <c r="J71" s="19">
        <f>(D71*D$62)+(E71*E$62)+(F71*F$62)+(G71*G$62)+(H71*H$62)+(I71*I$62)</f>
        <v>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 t="s">
        <v>26</v>
      </c>
      <c r="D72" s="20"/>
      <c r="E72" s="1">
        <v>1</v>
      </c>
      <c r="F72" s="1"/>
      <c r="G72" s="1"/>
      <c r="H72" s="1"/>
      <c r="I72" s="1"/>
      <c r="J72" s="19">
        <f>(D72*D$62)+(E72*E$62)+(F72*F$62)+(G72*G$62)+(H72*H$62)+(I72*I$62)</f>
        <v>100</v>
      </c>
      <c r="K72" s="43" t="str">
        <f>IF(D72&gt;=100, 250, IF(D72&gt;=50, 150, IF(D72&gt;=30, 50, "")))</f>
        <v/>
      </c>
      <c r="L72" s="20" t="str">
        <f>IF(E72=5, 200, IF(E72=3, 150, IF(E72=2, 50, "")))</f>
        <v/>
      </c>
      <c r="M72" s="20" t="str">
        <f>IF(H72=3,100,IF(H72=5,200,""))</f>
        <v/>
      </c>
      <c r="N72" s="20"/>
      <c r="O72" s="20"/>
      <c r="P72" s="1"/>
      <c r="Q72" s="1"/>
      <c r="R72" s="17">
        <f>SUM(K72:Q72)</f>
        <v>0</v>
      </c>
      <c r="T72" s="14">
        <f>R72+J72</f>
        <v>100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 t="s">
        <v>77</v>
      </c>
      <c r="D73" s="20"/>
      <c r="E73" s="1">
        <v>2</v>
      </c>
      <c r="F73" s="1"/>
      <c r="G73" s="1"/>
      <c r="H73" s="1"/>
      <c r="I73" s="1"/>
      <c r="J73" s="19">
        <f>(D73*D$62)+(E73*E$62)+(F73*F$62)+(G73*G$62)+(H73*H$62)+(I73*I$62)</f>
        <v>200</v>
      </c>
      <c r="K73" s="43" t="str">
        <f>IF(D73&gt;=100, 250, IF(D73&gt;=50, 150, IF(D73&gt;=30, 50, "")))</f>
        <v/>
      </c>
      <c r="L73" s="20">
        <f>IF(E73=5, 200, IF(E73=3, 150, IF(E73=2, 50, "")))</f>
        <v>50</v>
      </c>
      <c r="M73" s="20" t="str">
        <f>IF(H73=3,100,IF(H73=5,200,""))</f>
        <v/>
      </c>
      <c r="N73" s="20"/>
      <c r="O73" s="20"/>
      <c r="P73" s="1"/>
      <c r="Q73" s="1"/>
      <c r="R73" s="17">
        <f>SUM(K73:Q73)</f>
        <v>50</v>
      </c>
      <c r="T73" s="14">
        <f>R73+J73</f>
        <v>250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 t="s">
        <v>246</v>
      </c>
      <c r="D74" s="12">
        <v>2</v>
      </c>
      <c r="E74" s="10"/>
      <c r="F74" s="10"/>
      <c r="G74" s="10"/>
      <c r="H74" s="10">
        <v>1</v>
      </c>
      <c r="I74" s="10"/>
      <c r="J74" s="11">
        <f>(D74*D$62)+(E74*E$62)+(F74*F$62)+(G74*G$62)+(H74*H$62)+(I74*I$62)</f>
        <v>60</v>
      </c>
      <c r="K74" s="9" t="str">
        <f>IF(D74&gt;=100, 250, IF(D74&gt;=50, 150, IF(D74&gt;=30, 50, "")))</f>
        <v/>
      </c>
      <c r="L74" s="12" t="str">
        <f>IF(E74=5, 200, IF(E74=3, 150, IF(E74=2, 50, "")))</f>
        <v/>
      </c>
      <c r="M74" s="12" t="str">
        <f>IF(H74=3,100,IF(H74=5,200,""))</f>
        <v/>
      </c>
      <c r="N74" s="12"/>
      <c r="O74" s="12"/>
      <c r="P74" s="10"/>
      <c r="Q74" s="10"/>
      <c r="R74" s="13">
        <f>SUM(K74:Q74)</f>
        <v>0</v>
      </c>
      <c r="T74" s="34">
        <f>R74+J74</f>
        <v>60</v>
      </c>
      <c r="V74" s="28"/>
      <c r="W74" s="29"/>
      <c r="X74" s="28"/>
      <c r="Y74" s="28"/>
      <c r="Z74" s="28"/>
      <c r="AA74" s="28"/>
    </row>
    <row r="75" spans="2:27" ht="15" thickBot="1" x14ac:dyDescent="0.35">
      <c r="T75" s="37">
        <f>SUM(T70:T74)</f>
        <v>500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 t="s">
        <v>36</v>
      </c>
      <c r="D76" s="23">
        <v>36</v>
      </c>
      <c r="E76" s="6"/>
      <c r="F76" s="6"/>
      <c r="G76" s="6"/>
      <c r="H76" s="6"/>
      <c r="I76" s="6"/>
      <c r="J76" s="7">
        <f>(D76*D$62)+(E76*E$62)+(F76*F$62)+(G76*G$62)+(H76*H$62)+(I76*I$62)</f>
        <v>180</v>
      </c>
      <c r="K76" s="5">
        <f>IF(D76&gt;=100, 250, IF(D76&gt;=50, 150, IF(D76&gt;=30, 50, "")))</f>
        <v>50</v>
      </c>
      <c r="L76" s="23" t="str">
        <f>IF(E76=5, 200, IF(E76=3, 150, IF(E76=2, 50, "")))</f>
        <v/>
      </c>
      <c r="M76" s="23" t="str">
        <f>IF(H76=3,100,IF(H76=5,200,""))</f>
        <v/>
      </c>
      <c r="N76" s="23"/>
      <c r="O76" s="23"/>
      <c r="P76" s="6"/>
      <c r="Q76" s="6"/>
      <c r="R76" s="24">
        <f>SUM(K76:Q76)</f>
        <v>50</v>
      </c>
      <c r="T76" s="33">
        <f>(R76+J76)*2</f>
        <v>460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126</v>
      </c>
      <c r="D77" s="20">
        <v>4</v>
      </c>
      <c r="E77" s="1"/>
      <c r="F77" s="1"/>
      <c r="G77" s="1"/>
      <c r="H77" s="1"/>
      <c r="I77" s="1"/>
      <c r="J77" s="19">
        <f>(D77*D$62)+(E77*E$62)+(F77*F$62)+(G77*G$62)+(H77*H$62)+(I77*I$62)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 t="s">
        <v>181</v>
      </c>
      <c r="D78" s="20"/>
      <c r="E78" s="1"/>
      <c r="F78" s="1"/>
      <c r="G78" s="1"/>
      <c r="H78" s="1"/>
      <c r="I78" s="1"/>
      <c r="J78" s="19">
        <f>(D78*D$62)+(E78*E$62)+(F78*F$62)+(G78*G$62)+(H78*H$62)+(I78*I$62)</f>
        <v>0</v>
      </c>
      <c r="K78" s="43" t="str">
        <f>IF(D78&gt;=100, 250, IF(D78&gt;=50, 150, IF(D78&gt;=30, 50, "")))</f>
        <v/>
      </c>
      <c r="L78" s="20" t="str">
        <f>IF(E78=5, 200, IF(E78=3, 150, IF(E78=2, 50, "")))</f>
        <v/>
      </c>
      <c r="M78" s="20" t="str">
        <f>IF(H78=3,100,IF(H78=5,200,""))</f>
        <v/>
      </c>
      <c r="N78" s="20"/>
      <c r="O78" s="20"/>
      <c r="P78" s="1"/>
      <c r="Q78" s="1"/>
      <c r="R78" s="17">
        <f>SUM(K78:Q78)</f>
        <v>0</v>
      </c>
      <c r="T78" s="14">
        <f>R78+J78</f>
        <v>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 t="s">
        <v>191</v>
      </c>
      <c r="D79" s="20"/>
      <c r="E79" s="1">
        <v>2</v>
      </c>
      <c r="F79" s="1"/>
      <c r="G79" s="1"/>
      <c r="H79" s="1"/>
      <c r="I79" s="1"/>
      <c r="J79" s="19">
        <f>(D79*D$62)+(E79*E$62)+(F79*F$62)+(G79*G$62)+(H79*H$62)+(I79*I$62)</f>
        <v>200</v>
      </c>
      <c r="K79" s="43" t="str">
        <f>IF(D79&gt;=100, 250, IF(D79&gt;=50, 150, IF(D79&gt;=30, 50, "")))</f>
        <v/>
      </c>
      <c r="L79" s="20">
        <f>IF(E79=5, 200, IF(E79=3, 150, IF(E79=2, 50, "")))</f>
        <v>50</v>
      </c>
      <c r="M79" s="20" t="str">
        <f>IF(H79=3,100,IF(H79=5,200,""))</f>
        <v/>
      </c>
      <c r="N79" s="20"/>
      <c r="O79" s="20"/>
      <c r="P79" s="1"/>
      <c r="Q79" s="1"/>
      <c r="R79" s="17">
        <f>SUM(K79:Q79)</f>
        <v>50</v>
      </c>
      <c r="T79" s="14">
        <f>R79+J79</f>
        <v>250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 t="s">
        <v>59</v>
      </c>
      <c r="D80" s="12">
        <v>9</v>
      </c>
      <c r="E80" s="10"/>
      <c r="F80" s="10"/>
      <c r="G80" s="10"/>
      <c r="H80" s="10"/>
      <c r="I80" s="10"/>
      <c r="J80" s="11">
        <f>(D80*D$62)+(E80*E$62)+(F80*F$62)+(G80*G$62)+(H80*H$62)+(I80*I$62)</f>
        <v>45</v>
      </c>
      <c r="K80" s="9" t="str">
        <f>IF(D80&gt;=100, 250, IF(D80&gt;=50, 150, IF(D80&gt;=30, 50, "")))</f>
        <v/>
      </c>
      <c r="L80" s="12" t="str">
        <f>IF(E80=5, 200, IF(E80=3, 150, IF(E80=2, 50, "")))</f>
        <v/>
      </c>
      <c r="M80" s="12" t="str">
        <f>IF(H80=3,100,IF(H80=5,200,""))</f>
        <v/>
      </c>
      <c r="N80" s="12"/>
      <c r="O80" s="12"/>
      <c r="P80" s="10"/>
      <c r="Q80" s="10"/>
      <c r="R80" s="13">
        <f>SUM(K80:Q80)</f>
        <v>0</v>
      </c>
      <c r="T80" s="34">
        <f>R80+J80</f>
        <v>45</v>
      </c>
      <c r="V80" s="28"/>
      <c r="W80" s="29"/>
      <c r="X80" s="28"/>
      <c r="Y80" s="28"/>
      <c r="Z80" s="28"/>
      <c r="AA80" s="28"/>
    </row>
    <row r="81" spans="2:27" ht="15" thickBot="1" x14ac:dyDescent="0.35">
      <c r="T81" s="37">
        <f>SUM(T76:T80)</f>
        <v>775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 t="s">
        <v>222</v>
      </c>
      <c r="D82" s="23">
        <v>1</v>
      </c>
      <c r="E82" s="6"/>
      <c r="F82" s="6"/>
      <c r="G82" s="6"/>
      <c r="H82" s="6"/>
      <c r="I82" s="6"/>
      <c r="J82" s="7">
        <f>(D82*D$62)+(E82*E$62)+(F82*F$62)+(G82*G$62)+(H82*H$62)+(I82*I$62)</f>
        <v>5</v>
      </c>
      <c r="K82" s="5" t="str">
        <f>IF(D82&gt;=100, 250, IF(D82&gt;=50, 150, IF(D82&gt;=30, 50, "")))</f>
        <v/>
      </c>
      <c r="L82" s="23" t="str">
        <f>IF(E82=5, 200, IF(E82=3, 150, IF(E82=2, 50, "")))</f>
        <v/>
      </c>
      <c r="M82" s="23" t="str">
        <f>IF(H82=3,100,IF(H82=5,200,""))</f>
        <v/>
      </c>
      <c r="N82" s="23"/>
      <c r="O82" s="23"/>
      <c r="P82" s="6"/>
      <c r="Q82" s="6"/>
      <c r="R82" s="24">
        <f>SUM(K82:Q82)</f>
        <v>0</v>
      </c>
      <c r="T82" s="33">
        <f>(R82+J82)*2</f>
        <v>10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136</v>
      </c>
      <c r="D83" s="20">
        <v>103</v>
      </c>
      <c r="E83" s="1"/>
      <c r="F83" s="1"/>
      <c r="G83" s="1"/>
      <c r="H83" s="1"/>
      <c r="I83" s="1"/>
      <c r="J83" s="19">
        <f>(D83*D$62)+(E83*E$62)+(F83*F$62)+(G83*G$62)+(H83*H$62)+(I83*I$62)</f>
        <v>515</v>
      </c>
      <c r="K83" s="43">
        <f>IF(D83&gt;=100, 250, IF(D83&gt;=50, 150, IF(D83&gt;=30, 50, "")))</f>
        <v>250</v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>
        <v>150</v>
      </c>
      <c r="P83" s="1">
        <v>100</v>
      </c>
      <c r="Q83" s="1"/>
      <c r="R83" s="17">
        <f>SUM(K83:Q83)</f>
        <v>500</v>
      </c>
      <c r="T83" s="14">
        <f>R83+J83</f>
        <v>1015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 t="s">
        <v>247</v>
      </c>
      <c r="D84" s="20"/>
      <c r="E84" s="1"/>
      <c r="F84" s="1"/>
      <c r="G84" s="1"/>
      <c r="H84" s="1"/>
      <c r="I84" s="1"/>
      <c r="J84" s="19">
        <f>(D84*D$62)+(E84*E$62)+(F84*F$62)+(G84*G$62)+(H84*H$62)+(I84*I$62)</f>
        <v>0</v>
      </c>
      <c r="K84" s="43" t="str">
        <f>IF(D84&gt;=100, 250, IF(D84&gt;=50, 150, IF(D84&gt;=30, 50, "")))</f>
        <v/>
      </c>
      <c r="L84" s="20" t="str">
        <f>IF(E84=5, 200, IF(E84=3, 150, IF(E84=2, 50, "")))</f>
        <v/>
      </c>
      <c r="M84" s="20" t="str">
        <f>IF(H84=3,100,IF(H84=5,200,""))</f>
        <v/>
      </c>
      <c r="N84" s="20"/>
      <c r="O84" s="20"/>
      <c r="P84" s="1"/>
      <c r="Q84" s="1"/>
      <c r="R84" s="17">
        <f>SUM(K84:Q84)</f>
        <v>0</v>
      </c>
      <c r="T84" s="14">
        <f>R84+J84</f>
        <v>0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 t="s">
        <v>225</v>
      </c>
      <c r="D85" s="20">
        <v>9</v>
      </c>
      <c r="E85" s="1"/>
      <c r="F85" s="1"/>
      <c r="G85" s="1"/>
      <c r="H85" s="1"/>
      <c r="I85" s="1"/>
      <c r="J85" s="19">
        <f>(D85*D$62)+(E85*E$62)+(F85*F$62)+(G85*G$62)+(H85*H$62)+(I85*I$62)</f>
        <v>45</v>
      </c>
      <c r="K85" s="43" t="str">
        <f>IF(D85&gt;=100, 250, IF(D85&gt;=50, 150, IF(D85&gt;=30, 50, "")))</f>
        <v/>
      </c>
      <c r="L85" s="20" t="str">
        <f>IF(E85=5, 200, IF(E85=3, 150, IF(E85=2, 50, "")))</f>
        <v/>
      </c>
      <c r="M85" s="20" t="str">
        <f>IF(H85=3,100,IF(H85=5,200,""))</f>
        <v/>
      </c>
      <c r="N85" s="20"/>
      <c r="O85" s="20"/>
      <c r="P85" s="1"/>
      <c r="Q85" s="1"/>
      <c r="R85" s="17">
        <f>SUM(K85:Q85)</f>
        <v>0</v>
      </c>
      <c r="T85" s="14">
        <f>R85+J85</f>
        <v>45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 t="s">
        <v>127</v>
      </c>
      <c r="D86" s="12"/>
      <c r="E86" s="10"/>
      <c r="F86" s="10"/>
      <c r="G86" s="10"/>
      <c r="H86" s="10">
        <v>1</v>
      </c>
      <c r="I86" s="10"/>
      <c r="J86" s="11">
        <f>(D86*D$62)+(E86*E$62)+(F86*F$62)+(G86*G$62)+(H86*H$62)+(I86*I$62)</f>
        <v>50</v>
      </c>
      <c r="K86" s="9" t="str">
        <f>IF(D86&gt;=100, 250, IF(D86&gt;=50, 150, IF(D86&gt;=30, 50, "")))</f>
        <v/>
      </c>
      <c r="L86" s="12" t="str">
        <f>IF(E86=5, 200, IF(E86=3, 150, IF(E86=2, 50, "")))</f>
        <v/>
      </c>
      <c r="M86" s="12" t="str">
        <f>IF(H86=3,100,IF(H86=5,200,""))</f>
        <v/>
      </c>
      <c r="N86" s="12"/>
      <c r="O86" s="12"/>
      <c r="P86" s="10"/>
      <c r="Q86" s="10"/>
      <c r="R86" s="13">
        <f>SUM(K86:Q86)</f>
        <v>0</v>
      </c>
      <c r="T86" s="34">
        <f>R86+J86</f>
        <v>50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1120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AK87"/>
  <sheetViews>
    <sheetView topLeftCell="A5" zoomScale="90" zoomScaleNormal="90" workbookViewId="0">
      <selection activeCell="W32" sqref="W32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7" width="8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F3" s="47"/>
      <c r="AG3" s="47" t="s">
        <v>211</v>
      </c>
      <c r="AH3" s="48" t="s">
        <v>96</v>
      </c>
      <c r="AI3" s="48" t="s">
        <v>97</v>
      </c>
      <c r="AJ3" s="48" t="s">
        <v>98</v>
      </c>
      <c r="AK3" s="46"/>
    </row>
    <row r="4" spans="2:37" x14ac:dyDescent="0.3">
      <c r="AE4" s="46"/>
      <c r="AF4" s="49" t="s">
        <v>165</v>
      </c>
      <c r="AG4" s="49">
        <v>-4745</v>
      </c>
      <c r="AH4" s="49">
        <v>2405</v>
      </c>
      <c r="AI4" s="49">
        <v>10275</v>
      </c>
      <c r="AJ4" s="49">
        <v>-7935</v>
      </c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F5" s="49" t="s">
        <v>210</v>
      </c>
      <c r="AG5" s="49">
        <v>-5315</v>
      </c>
      <c r="AH5" s="49">
        <v>-3535</v>
      </c>
      <c r="AI5" s="49">
        <v>5950</v>
      </c>
      <c r="AJ5" s="49">
        <v>2900</v>
      </c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F6" s="49" t="s">
        <v>236</v>
      </c>
      <c r="AG6" s="49">
        <f>X31</f>
        <v>4670</v>
      </c>
      <c r="AH6" s="49">
        <f>Y31</f>
        <v>-1680</v>
      </c>
      <c r="AI6" s="49">
        <f>Z31</f>
        <v>-1540</v>
      </c>
      <c r="AJ6" s="49">
        <f>AA31</f>
        <v>-1450</v>
      </c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F7" s="46"/>
      <c r="AG7" s="46"/>
      <c r="AH7" s="46"/>
      <c r="AI7" s="46"/>
      <c r="AJ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F8" s="46"/>
      <c r="AG8" s="46"/>
      <c r="AH8" s="46"/>
      <c r="AI8" s="46"/>
      <c r="AJ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6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36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36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  <c r="AF30" s="49" t="s">
        <v>0</v>
      </c>
      <c r="AG30" s="49">
        <f>SUM(AG4:AG29)</f>
        <v>-5390</v>
      </c>
      <c r="AH30" s="49">
        <f t="shared" ref="AH30:AJ30" si="0">SUM(AH4:AH29)</f>
        <v>-2810</v>
      </c>
      <c r="AI30" s="49">
        <f t="shared" si="0"/>
        <v>14685</v>
      </c>
      <c r="AJ30" s="49">
        <f t="shared" si="0"/>
        <v>-6485</v>
      </c>
    </row>
    <row r="31" spans="2:36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4670</v>
      </c>
      <c r="Y31" s="42">
        <f>SUM(Y32:Y39)</f>
        <v>-1680</v>
      </c>
      <c r="Z31" s="42">
        <f>SUM(Z32:Z39)</f>
        <v>-1540</v>
      </c>
      <c r="AA31" s="42">
        <f>SUM(AA32:AA39)</f>
        <v>-1450</v>
      </c>
    </row>
    <row r="32" spans="2:36" x14ac:dyDescent="0.3">
      <c r="B32" s="66" t="s">
        <v>211</v>
      </c>
      <c r="C32" s="38" t="s">
        <v>259</v>
      </c>
      <c r="D32" s="5">
        <v>44</v>
      </c>
      <c r="E32" s="6">
        <v>3</v>
      </c>
      <c r="F32" s="6"/>
      <c r="G32" s="6"/>
      <c r="H32" s="6"/>
      <c r="I32" s="6"/>
      <c r="J32" s="7">
        <f>(D32*D$62)+(E32*E$62)+(F32*F$62)+(G32*G$62)+(H32*H$62)+(I32*I$62)</f>
        <v>520</v>
      </c>
      <c r="K32" s="15">
        <v>50</v>
      </c>
      <c r="L32" s="15">
        <v>150</v>
      </c>
      <c r="M32" s="15" t="s">
        <v>258</v>
      </c>
      <c r="N32" s="15"/>
      <c r="O32" s="15">
        <v>150</v>
      </c>
      <c r="P32" s="16"/>
      <c r="Q32" s="16"/>
      <c r="R32" s="17">
        <f>SUM(K32:Q32)</f>
        <v>350</v>
      </c>
      <c r="T32" s="14">
        <f>(R32+J32)*2</f>
        <v>1740</v>
      </c>
      <c r="V32" s="28">
        <v>1</v>
      </c>
      <c r="W32" s="29">
        <v>45758</v>
      </c>
      <c r="X32" s="28">
        <v>4670</v>
      </c>
      <c r="Y32" s="28">
        <v>-1680</v>
      </c>
      <c r="Z32" s="28">
        <v>-1540</v>
      </c>
      <c r="AA32" s="28">
        <v>-1450</v>
      </c>
    </row>
    <row r="33" spans="2:32" x14ac:dyDescent="0.3">
      <c r="B33" s="67"/>
      <c r="C33" s="4" t="s">
        <v>145</v>
      </c>
      <c r="D33" s="18"/>
      <c r="E33" s="1">
        <v>2</v>
      </c>
      <c r="F33" s="1"/>
      <c r="G33" s="1"/>
      <c r="H33" s="1">
        <v>1</v>
      </c>
      <c r="I33" s="1"/>
      <c r="J33" s="19">
        <f>(D33*D$62)+(E33*E$62)+(F33*F$62)+(G33*G$62)+(H33*H$62)+(I33*I$62)</f>
        <v>250</v>
      </c>
      <c r="K33" s="15" t="s">
        <v>258</v>
      </c>
      <c r="L33" s="20">
        <v>50</v>
      </c>
      <c r="M33" s="20" t="s">
        <v>258</v>
      </c>
      <c r="N33" s="20"/>
      <c r="O33" s="20"/>
      <c r="P33" s="1"/>
      <c r="Q33" s="1"/>
      <c r="R33" s="17">
        <f>SUM(K33:Q33)</f>
        <v>50</v>
      </c>
      <c r="T33" s="14">
        <f>R33+J33</f>
        <v>300</v>
      </c>
      <c r="V33" s="28">
        <v>2</v>
      </c>
      <c r="W33" s="29"/>
      <c r="X33" s="45"/>
      <c r="Y33" s="45"/>
      <c r="Z33" s="45"/>
      <c r="AA33" s="45"/>
    </row>
    <row r="34" spans="2:32" x14ac:dyDescent="0.3">
      <c r="B34" s="67"/>
      <c r="C34" s="4" t="s">
        <v>260</v>
      </c>
      <c r="D34" s="18">
        <v>16</v>
      </c>
      <c r="E34" s="1"/>
      <c r="F34" s="1"/>
      <c r="G34" s="1"/>
      <c r="H34" s="1"/>
      <c r="I34" s="1"/>
      <c r="J34" s="19">
        <f>(D34*D$62)+(E34*E$62)+(F34*F$62)+(G34*G$62)+(H34*H$62)+(I34*I$62)</f>
        <v>80</v>
      </c>
      <c r="K34" s="15" t="s">
        <v>258</v>
      </c>
      <c r="L34" s="20" t="s">
        <v>258</v>
      </c>
      <c r="M34" s="20" t="s">
        <v>258</v>
      </c>
      <c r="N34" s="20"/>
      <c r="O34" s="20"/>
      <c r="P34" s="1"/>
      <c r="Q34" s="1"/>
      <c r="R34" s="17">
        <f>SUM(K34:Q34)</f>
        <v>0</v>
      </c>
      <c r="T34" s="14">
        <f>R34+J34</f>
        <v>80</v>
      </c>
      <c r="V34" s="28">
        <v>3</v>
      </c>
      <c r="W34" s="44"/>
      <c r="X34" s="28"/>
      <c r="Y34" s="28"/>
      <c r="Z34" s="28"/>
      <c r="AA34" s="28"/>
    </row>
    <row r="35" spans="2:32" x14ac:dyDescent="0.3">
      <c r="B35" s="67"/>
      <c r="C35" s="4" t="s">
        <v>181</v>
      </c>
      <c r="D35" s="18"/>
      <c r="E35" s="1"/>
      <c r="F35" s="1"/>
      <c r="G35" s="1"/>
      <c r="H35" s="1"/>
      <c r="I35" s="1"/>
      <c r="J35" s="19">
        <f>(D35*D$62)+(E35*E$62)+(F35*F$62)+(G35*G$62)+(H35*H$62)+(I35*I$62)</f>
        <v>0</v>
      </c>
      <c r="K35" s="15" t="s">
        <v>258</v>
      </c>
      <c r="L35" s="20" t="s">
        <v>258</v>
      </c>
      <c r="M35" s="20" t="s">
        <v>258</v>
      </c>
      <c r="N35" s="20"/>
      <c r="O35" s="20"/>
      <c r="P35" s="1"/>
      <c r="Q35" s="1"/>
      <c r="R35" s="17">
        <f>SUM(K35:Q35)</f>
        <v>0</v>
      </c>
      <c r="T35" s="14">
        <f>R35+J35</f>
        <v>0</v>
      </c>
      <c r="V35" s="28">
        <v>4</v>
      </c>
      <c r="W35" s="44"/>
      <c r="X35" s="28"/>
      <c r="Y35" s="28"/>
      <c r="Z35" s="28"/>
      <c r="AA35" s="28"/>
      <c r="AE35" s="50" t="s">
        <v>5</v>
      </c>
      <c r="AF35" s="50" t="s">
        <v>235</v>
      </c>
    </row>
    <row r="36" spans="2:32" ht="15" thickBot="1" x14ac:dyDescent="0.35">
      <c r="B36" s="68"/>
      <c r="C36" s="21" t="s">
        <v>68</v>
      </c>
      <c r="D36" s="9">
        <v>1</v>
      </c>
      <c r="E36" s="10"/>
      <c r="F36" s="10"/>
      <c r="G36" s="10"/>
      <c r="H36" s="10"/>
      <c r="I36" s="10"/>
      <c r="J36" s="11">
        <f>(D36*D$62)+(E36*E$62)+(F36*F$62)+(G36*G$62)+(H36*H$62)+(I36*I$62)</f>
        <v>5</v>
      </c>
      <c r="K36" s="12" t="s">
        <v>258</v>
      </c>
      <c r="L36" s="12" t="s">
        <v>258</v>
      </c>
      <c r="M36" s="12" t="s">
        <v>258</v>
      </c>
      <c r="N36" s="12"/>
      <c r="O36" s="12"/>
      <c r="P36" s="10"/>
      <c r="Q36" s="10"/>
      <c r="R36" s="13">
        <f>SUM(K36:Q36)</f>
        <v>0</v>
      </c>
      <c r="T36" s="22">
        <f>(R36+J36)</f>
        <v>5</v>
      </c>
      <c r="V36" s="28">
        <v>5</v>
      </c>
      <c r="W36" s="29"/>
      <c r="X36" s="28"/>
      <c r="Y36" s="28"/>
      <c r="Z36" s="28"/>
      <c r="AA36" s="28"/>
      <c r="AE36" s="28" t="s">
        <v>211</v>
      </c>
      <c r="AF36" s="28">
        <f>T37</f>
        <v>2125</v>
      </c>
    </row>
    <row r="37" spans="2:32" ht="15" thickBot="1" x14ac:dyDescent="0.35">
      <c r="T37" s="37">
        <f>SUM(T32:T36)</f>
        <v>2125</v>
      </c>
      <c r="V37" s="28">
        <v>6</v>
      </c>
      <c r="W37" s="29"/>
      <c r="X37" s="28"/>
      <c r="Y37" s="28"/>
      <c r="Z37" s="28"/>
      <c r="AA37" s="28"/>
      <c r="AE37" s="28" t="s">
        <v>96</v>
      </c>
      <c r="AF37" s="28">
        <f>T43</f>
        <v>445</v>
      </c>
    </row>
    <row r="38" spans="2:32" x14ac:dyDescent="0.3">
      <c r="B38" s="66" t="s">
        <v>96</v>
      </c>
      <c r="C38" s="39" t="s">
        <v>36</v>
      </c>
      <c r="D38" s="23">
        <v>4</v>
      </c>
      <c r="E38" s="6"/>
      <c r="F38" s="6"/>
      <c r="G38" s="6"/>
      <c r="H38" s="6"/>
      <c r="I38" s="6"/>
      <c r="J38" s="7">
        <f>(D38*D$62)+(E38*E$62)+(F38*F$62)+(G38*G$62)+(H38*H$62)+(I38*I$62)</f>
        <v>20</v>
      </c>
      <c r="K38" s="5" t="s">
        <v>258</v>
      </c>
      <c r="L38" s="23" t="s">
        <v>258</v>
      </c>
      <c r="M38" s="23" t="s">
        <v>258</v>
      </c>
      <c r="N38" s="23"/>
      <c r="O38" s="23"/>
      <c r="P38" s="6"/>
      <c r="Q38" s="6"/>
      <c r="R38" s="24">
        <f>SUM(K38:Q38)</f>
        <v>0</v>
      </c>
      <c r="T38" s="33">
        <f>(R38+J38)*2</f>
        <v>40</v>
      </c>
      <c r="V38" s="28">
        <v>7</v>
      </c>
      <c r="W38" s="29"/>
      <c r="X38" s="28"/>
      <c r="Y38" s="28"/>
      <c r="Z38" s="28"/>
      <c r="AA38" s="28"/>
      <c r="AE38" s="28" t="s">
        <v>97</v>
      </c>
      <c r="AF38" s="28">
        <f>T49</f>
        <v>585</v>
      </c>
    </row>
    <row r="39" spans="2:32" x14ac:dyDescent="0.3">
      <c r="B39" s="67"/>
      <c r="C39" s="19" t="s">
        <v>25</v>
      </c>
      <c r="D39" s="20">
        <v>20</v>
      </c>
      <c r="E39" s="1"/>
      <c r="F39" s="1"/>
      <c r="G39" s="1"/>
      <c r="H39" s="1">
        <v>1</v>
      </c>
      <c r="I39" s="1"/>
      <c r="J39" s="19">
        <f>(D39*D$62)+(E39*E$62)+(F39*F$62)+(G39*G$62)+(H39*H$62)+(I39*I$62)</f>
        <v>150</v>
      </c>
      <c r="K39" s="43" t="s">
        <v>258</v>
      </c>
      <c r="L39" s="20" t="s">
        <v>258</v>
      </c>
      <c r="M39" s="20" t="s">
        <v>258</v>
      </c>
      <c r="N39" s="20"/>
      <c r="O39" s="20"/>
      <c r="P39" s="1"/>
      <c r="Q39" s="1"/>
      <c r="R39" s="17">
        <f>SUM(K39:Q39)</f>
        <v>0</v>
      </c>
      <c r="T39" s="14">
        <f>R39+J39</f>
        <v>150</v>
      </c>
      <c r="V39" s="28">
        <v>8</v>
      </c>
      <c r="W39" s="29"/>
      <c r="X39" s="28"/>
      <c r="Y39" s="28"/>
      <c r="Z39" s="28"/>
      <c r="AA39" s="28"/>
      <c r="AE39" s="28" t="s">
        <v>98</v>
      </c>
      <c r="AF39" s="28">
        <f>T55</f>
        <v>675</v>
      </c>
    </row>
    <row r="40" spans="2:32" x14ac:dyDescent="0.3">
      <c r="B40" s="67"/>
      <c r="C40" s="19" t="s">
        <v>140</v>
      </c>
      <c r="D40" s="20"/>
      <c r="E40" s="1">
        <v>2</v>
      </c>
      <c r="F40" s="1"/>
      <c r="G40" s="1"/>
      <c r="H40" s="1"/>
      <c r="I40" s="1"/>
      <c r="J40" s="19">
        <f>(D40*D$62)+(E40*E$62)+(F40*F$62)+(G40*G$62)+(H40*H$62)+(I40*I$62)</f>
        <v>200</v>
      </c>
      <c r="K40" s="43" t="s">
        <v>258</v>
      </c>
      <c r="L40" s="20">
        <v>50</v>
      </c>
      <c r="M40" s="20" t="s">
        <v>258</v>
      </c>
      <c r="N40" s="20"/>
      <c r="O40" s="20"/>
      <c r="P40" s="1"/>
      <c r="Q40" s="1"/>
      <c r="R40" s="17">
        <f>SUM(K40:Q40)</f>
        <v>50</v>
      </c>
      <c r="T40" s="14">
        <f>R40+J40</f>
        <v>250</v>
      </c>
      <c r="V40" s="28"/>
      <c r="W40" s="29"/>
      <c r="X40" s="28"/>
      <c r="Y40" s="28"/>
      <c r="Z40" s="28"/>
      <c r="AA40" s="28"/>
    </row>
    <row r="41" spans="2:32" x14ac:dyDescent="0.3">
      <c r="B41" s="67"/>
      <c r="C41" s="19" t="s">
        <v>185</v>
      </c>
      <c r="D41" s="20"/>
      <c r="E41" s="1"/>
      <c r="F41" s="1"/>
      <c r="G41" s="1"/>
      <c r="H41" s="1"/>
      <c r="I41" s="1"/>
      <c r="J41" s="19">
        <f>(D41*D$62)+(E41*E$62)+(F41*F$62)+(G41*G$62)+(H41*H$62)+(I41*I$62)</f>
        <v>0</v>
      </c>
      <c r="K41" s="43" t="s">
        <v>258</v>
      </c>
      <c r="L41" s="20" t="s">
        <v>258</v>
      </c>
      <c r="M41" s="20" t="s">
        <v>258</v>
      </c>
      <c r="N41" s="20"/>
      <c r="O41" s="20"/>
      <c r="P41" s="1"/>
      <c r="Q41" s="1"/>
      <c r="R41" s="17">
        <f>SUM(K41:Q41)</f>
        <v>0</v>
      </c>
      <c r="T41" s="14">
        <f>R41+J41</f>
        <v>0</v>
      </c>
      <c r="V41" s="28"/>
      <c r="W41" s="29"/>
      <c r="X41" s="28"/>
      <c r="Y41" s="28"/>
      <c r="Z41" s="28"/>
      <c r="AA41" s="28"/>
    </row>
    <row r="42" spans="2:32" ht="15" thickBot="1" x14ac:dyDescent="0.35">
      <c r="B42" s="68"/>
      <c r="C42" s="11" t="s">
        <v>261</v>
      </c>
      <c r="D42" s="12">
        <v>1</v>
      </c>
      <c r="E42" s="10"/>
      <c r="F42" s="10"/>
      <c r="G42" s="10"/>
      <c r="H42" s="10"/>
      <c r="I42" s="10"/>
      <c r="J42" s="11">
        <f>(D42*D$62)+(E42*E$62)+(F42*F$62)+(G42*G$62)+(H42*H$62)+(I42*I$62)</f>
        <v>5</v>
      </c>
      <c r="K42" s="9" t="s">
        <v>258</v>
      </c>
      <c r="L42" s="12" t="s">
        <v>258</v>
      </c>
      <c r="M42" s="12" t="s">
        <v>258</v>
      </c>
      <c r="N42" s="12"/>
      <c r="O42" s="12"/>
      <c r="P42" s="10"/>
      <c r="Q42" s="10"/>
      <c r="R42" s="13">
        <f>SUM(K42:Q42)</f>
        <v>0</v>
      </c>
      <c r="T42" s="34">
        <f>R42+J42</f>
        <v>5</v>
      </c>
      <c r="V42" s="28"/>
      <c r="W42" s="29"/>
      <c r="X42" s="28"/>
      <c r="Y42" s="28"/>
      <c r="Z42" s="28"/>
      <c r="AA42" s="28"/>
    </row>
    <row r="43" spans="2:32" ht="15" thickBot="1" x14ac:dyDescent="0.35">
      <c r="T43" s="37">
        <f>SUM(T38:T42)</f>
        <v>445</v>
      </c>
      <c r="V43" s="28"/>
      <c r="W43" s="29"/>
      <c r="X43" s="28"/>
      <c r="Y43" s="28"/>
      <c r="Z43" s="28"/>
      <c r="AA43" s="28"/>
    </row>
    <row r="44" spans="2:32" x14ac:dyDescent="0.3">
      <c r="B44" s="66" t="s">
        <v>97</v>
      </c>
      <c r="C44" s="39" t="s">
        <v>189</v>
      </c>
      <c r="D44" s="23">
        <v>23</v>
      </c>
      <c r="E44" s="6"/>
      <c r="F44" s="6"/>
      <c r="G44" s="6"/>
      <c r="H44" s="6">
        <v>1</v>
      </c>
      <c r="I44" s="6"/>
      <c r="J44" s="7">
        <f>(D44*D$62)+(E44*E$62)+(F44*F$62)+(G44*G$62)+(H44*H$62)+(I44*I$62)</f>
        <v>165</v>
      </c>
      <c r="K44" s="5" t="s">
        <v>258</v>
      </c>
      <c r="L44" s="23" t="s">
        <v>258</v>
      </c>
      <c r="M44" s="23" t="s">
        <v>258</v>
      </c>
      <c r="N44" s="23"/>
      <c r="O44" s="23"/>
      <c r="P44" s="6"/>
      <c r="Q44" s="6"/>
      <c r="R44" s="24">
        <f>SUM(K44:Q44)</f>
        <v>0</v>
      </c>
      <c r="T44" s="33">
        <f>(R44+J44)*2</f>
        <v>330</v>
      </c>
      <c r="V44" s="28"/>
      <c r="W44" s="29"/>
      <c r="X44" s="28"/>
      <c r="Y44" s="28"/>
      <c r="Z44" s="28"/>
      <c r="AA44" s="28"/>
    </row>
    <row r="45" spans="2:32" x14ac:dyDescent="0.3">
      <c r="B45" s="67"/>
      <c r="C45" s="19" t="s">
        <v>26</v>
      </c>
      <c r="D45" s="20">
        <v>1</v>
      </c>
      <c r="E45" s="1">
        <v>1</v>
      </c>
      <c r="F45" s="1"/>
      <c r="G45" s="1"/>
      <c r="H45" s="1"/>
      <c r="I45" s="1"/>
      <c r="J45" s="19">
        <f>(D45*D$62)+(E45*E$62)+(F45*F$62)+(G45*G$62)+(H45*H$62)+(I45*I$62)</f>
        <v>105</v>
      </c>
      <c r="K45" s="43" t="s">
        <v>258</v>
      </c>
      <c r="L45" s="20" t="s">
        <v>258</v>
      </c>
      <c r="M45" s="20" t="s">
        <v>258</v>
      </c>
      <c r="N45" s="20"/>
      <c r="O45" s="20"/>
      <c r="P45" s="1"/>
      <c r="Q45" s="1"/>
      <c r="R45" s="17">
        <f>SUM(K45:Q45)</f>
        <v>0</v>
      </c>
      <c r="T45" s="14">
        <f>R45+J45</f>
        <v>105</v>
      </c>
      <c r="V45" s="28"/>
      <c r="W45" s="29"/>
      <c r="X45" s="28"/>
      <c r="Y45" s="28"/>
      <c r="Z45" s="28"/>
      <c r="AA45" s="28"/>
    </row>
    <row r="46" spans="2:32" x14ac:dyDescent="0.3">
      <c r="B46" s="67"/>
      <c r="C46" s="19" t="s">
        <v>144</v>
      </c>
      <c r="D46" s="20"/>
      <c r="E46" s="1"/>
      <c r="F46" s="1"/>
      <c r="G46" s="1"/>
      <c r="H46" s="1"/>
      <c r="I46" s="1"/>
      <c r="J46" s="19">
        <f>(D46*D$62)+(E46*E$62)+(F46*F$62)+(G46*G$62)+(H46*H$62)+(I46*I$62)</f>
        <v>0</v>
      </c>
      <c r="K46" s="43" t="s">
        <v>258</v>
      </c>
      <c r="L46" s="20" t="s">
        <v>258</v>
      </c>
      <c r="M46" s="20" t="s">
        <v>258</v>
      </c>
      <c r="N46" s="20"/>
      <c r="O46" s="20"/>
      <c r="P46" s="1"/>
      <c r="Q46" s="1"/>
      <c r="R46" s="17">
        <f>SUM(K46:Q46)</f>
        <v>0</v>
      </c>
      <c r="T46" s="14">
        <f>R46+J46</f>
        <v>0</v>
      </c>
      <c r="V46" s="28"/>
      <c r="W46" s="29"/>
      <c r="X46" s="28"/>
      <c r="Y46" s="28"/>
      <c r="Z46" s="28"/>
      <c r="AA46" s="28"/>
    </row>
    <row r="47" spans="2:32" x14ac:dyDescent="0.3">
      <c r="B47" s="67"/>
      <c r="C47" s="19" t="s">
        <v>244</v>
      </c>
      <c r="D47" s="20"/>
      <c r="E47" s="1">
        <v>1</v>
      </c>
      <c r="F47" s="1"/>
      <c r="G47" s="1"/>
      <c r="H47" s="1">
        <v>2</v>
      </c>
      <c r="I47" s="1"/>
      <c r="J47" s="19">
        <f>(D47*D$62)+(E47*E$62)+(F47*F$62)+(G47*G$62)+(H47*H$62)+(I47*I$62)</f>
        <v>200</v>
      </c>
      <c r="K47" s="43" t="s">
        <v>258</v>
      </c>
      <c r="L47" s="20" t="s">
        <v>258</v>
      </c>
      <c r="M47" s="20" t="s">
        <v>258</v>
      </c>
      <c r="N47" s="20"/>
      <c r="O47" s="20"/>
      <c r="P47" s="1"/>
      <c r="Q47" s="1"/>
      <c r="R47" s="17">
        <f>SUM(K47:Q47)</f>
        <v>0</v>
      </c>
      <c r="T47" s="14">
        <f>R47+J47</f>
        <v>200</v>
      </c>
      <c r="V47" s="28"/>
      <c r="W47" s="29"/>
      <c r="X47" s="28"/>
      <c r="Y47" s="28"/>
      <c r="Z47" s="28"/>
      <c r="AA47" s="28"/>
    </row>
    <row r="48" spans="2:32" ht="15" thickBot="1" x14ac:dyDescent="0.35">
      <c r="B48" s="68"/>
      <c r="C48" s="11" t="s">
        <v>59</v>
      </c>
      <c r="D48" s="12">
        <v>0</v>
      </c>
      <c r="E48" s="10"/>
      <c r="F48" s="10"/>
      <c r="G48" s="10"/>
      <c r="H48" s="10"/>
      <c r="I48" s="10">
        <v>1</v>
      </c>
      <c r="J48" s="11">
        <f>(D48*D$62)+(E48*E$62)+(F48*F$62)+(G48*G$62)+(H48*H$62)+(I48*I$62)</f>
        <v>-50</v>
      </c>
      <c r="K48" s="9" t="s">
        <v>258</v>
      </c>
      <c r="L48" s="20" t="s">
        <v>258</v>
      </c>
      <c r="M48" s="12" t="s">
        <v>258</v>
      </c>
      <c r="N48" s="12"/>
      <c r="O48" s="12"/>
      <c r="P48" s="10"/>
      <c r="Q48" s="10"/>
      <c r="R48" s="13">
        <f>SUM(K48:Q48)</f>
        <v>0</v>
      </c>
      <c r="T48" s="34">
        <f>R48+J48</f>
        <v>-50</v>
      </c>
      <c r="V48" s="28"/>
      <c r="W48" s="29"/>
      <c r="X48" s="28"/>
      <c r="Y48" s="28"/>
      <c r="Z48" s="28"/>
      <c r="AA48" s="28"/>
    </row>
    <row r="49" spans="2:27" ht="15" thickBot="1" x14ac:dyDescent="0.35">
      <c r="T49" s="37">
        <f>SUM(T44:T48)</f>
        <v>585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217</v>
      </c>
      <c r="D50" s="23">
        <v>12</v>
      </c>
      <c r="E50" s="6"/>
      <c r="F50" s="6"/>
      <c r="G50" s="6"/>
      <c r="H50" s="6"/>
      <c r="I50" s="6"/>
      <c r="J50" s="7">
        <f>(D50*D$62)+(E50*E$62)+(F50*F$62)+(G50*G$62)+(H50*H$62)+(I50*I$62)</f>
        <v>60</v>
      </c>
      <c r="K50" s="5" t="s">
        <v>258</v>
      </c>
      <c r="L50" s="23" t="s">
        <v>258</v>
      </c>
      <c r="M50" s="23" t="s">
        <v>258</v>
      </c>
      <c r="N50" s="23"/>
      <c r="O50" s="23"/>
      <c r="P50" s="6"/>
      <c r="Q50" s="6"/>
      <c r="R50" s="24">
        <f>SUM(K50:Q50)</f>
        <v>0</v>
      </c>
      <c r="T50" s="33">
        <f>(R50+J50)*2</f>
        <v>120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66</v>
      </c>
      <c r="D51" s="20">
        <v>31</v>
      </c>
      <c r="E51" s="1"/>
      <c r="F51" s="1"/>
      <c r="G51" s="1"/>
      <c r="H51" s="1"/>
      <c r="I51" s="1"/>
      <c r="J51" s="19">
        <f>(D51*D$62)+(E51*E$62)+(F51*F$62)+(G51*G$62)+(H51*H$62)+(I51*I$62)</f>
        <v>155</v>
      </c>
      <c r="K51" s="43">
        <v>50</v>
      </c>
      <c r="L51" s="20" t="s">
        <v>258</v>
      </c>
      <c r="M51" s="20" t="s">
        <v>258</v>
      </c>
      <c r="N51" s="20"/>
      <c r="O51" s="20"/>
      <c r="P51" s="1"/>
      <c r="Q51" s="1"/>
      <c r="R51" s="17">
        <f>SUM(K51:Q51)</f>
        <v>50</v>
      </c>
      <c r="T51" s="14">
        <f>R51+J51</f>
        <v>205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205</v>
      </c>
      <c r="D52" s="20"/>
      <c r="E52" s="1"/>
      <c r="F52" s="1"/>
      <c r="G52" s="1"/>
      <c r="H52" s="1"/>
      <c r="I52" s="1"/>
      <c r="J52" s="19">
        <f>(D52*D$62)+(E52*E$62)+(F52*F$62)+(G52*G$62)+(H52*H$62)+(I52*I$62)</f>
        <v>0</v>
      </c>
      <c r="K52" s="43" t="s">
        <v>258</v>
      </c>
      <c r="L52" s="20" t="s">
        <v>258</v>
      </c>
      <c r="M52" s="20" t="s">
        <v>258</v>
      </c>
      <c r="N52" s="20"/>
      <c r="O52" s="20"/>
      <c r="P52" s="1"/>
      <c r="Q52" s="1"/>
      <c r="R52" s="17">
        <f>SUM(K52:Q52)</f>
        <v>0</v>
      </c>
      <c r="T52" s="14">
        <f>R52+J52</f>
        <v>0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207</v>
      </c>
      <c r="D53" s="20"/>
      <c r="E53" s="1">
        <v>1</v>
      </c>
      <c r="F53" s="1"/>
      <c r="G53" s="1"/>
      <c r="H53" s="1">
        <v>1</v>
      </c>
      <c r="I53" s="1"/>
      <c r="J53" s="19">
        <f>(D53*D$62)+(E53*E$62)+(F53*F$62)+(G53*G$62)+(H53*H$62)+(I53*I$62)</f>
        <v>150</v>
      </c>
      <c r="K53" s="43" t="s">
        <v>258</v>
      </c>
      <c r="L53" s="20" t="s">
        <v>258</v>
      </c>
      <c r="M53" s="20" t="s">
        <v>258</v>
      </c>
      <c r="N53" s="20"/>
      <c r="O53" s="20"/>
      <c r="P53" s="1"/>
      <c r="Q53" s="1">
        <v>200</v>
      </c>
      <c r="R53" s="17">
        <f>SUM(K53:Q53)</f>
        <v>200</v>
      </c>
      <c r="T53" s="14">
        <f>R53+J53</f>
        <v>350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77</v>
      </c>
      <c r="D54" s="12"/>
      <c r="E54" s="10"/>
      <c r="F54" s="10"/>
      <c r="G54" s="10"/>
      <c r="H54" s="10"/>
      <c r="I54" s="10"/>
      <c r="J54" s="11">
        <f>(D54*D$62)+(E54*E$62)+(F54*F$62)+(G54*G$62)+(H54*H$62)+(I54*I$62)</f>
        <v>0</v>
      </c>
      <c r="K54" s="9" t="s">
        <v>258</v>
      </c>
      <c r="L54" s="12" t="s">
        <v>258</v>
      </c>
      <c r="M54" s="12" t="s">
        <v>258</v>
      </c>
      <c r="N54" s="12"/>
      <c r="O54" s="12"/>
      <c r="P54" s="10"/>
      <c r="Q54" s="10"/>
      <c r="R54" s="13">
        <f>SUM(K54:Q54)</f>
        <v>0</v>
      </c>
      <c r="T54" s="34">
        <f>R54+J54</f>
        <v>0</v>
      </c>
      <c r="V54" s="28"/>
      <c r="W54" s="29"/>
      <c r="X54" s="28"/>
      <c r="Y54" s="28"/>
      <c r="Z54" s="28"/>
      <c r="AA54" s="28"/>
    </row>
    <row r="55" spans="2:27" ht="15" thickBot="1" x14ac:dyDescent="0.35">
      <c r="T55" s="37">
        <f>SUM(T50:T54)</f>
        <v>675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13105</v>
      </c>
      <c r="Y63" s="42">
        <f>SUM(Y64:Y71)</f>
        <v>-5025</v>
      </c>
      <c r="Z63" s="42">
        <f>SUM(Z64:Z71)</f>
        <v>-5480</v>
      </c>
      <c r="AA63" s="42">
        <f>SUM(AA64:AA71)</f>
        <v>-2600</v>
      </c>
    </row>
    <row r="64" spans="2:27" x14ac:dyDescent="0.3">
      <c r="B64" s="66" t="s">
        <v>211</v>
      </c>
      <c r="C64" s="38" t="s">
        <v>248</v>
      </c>
      <c r="D64" s="5">
        <v>69</v>
      </c>
      <c r="E64" s="6"/>
      <c r="F64" s="6"/>
      <c r="G64" s="6"/>
      <c r="H64" s="6">
        <v>1</v>
      </c>
      <c r="I64" s="6"/>
      <c r="J64" s="7">
        <f>(D64*D$62)+(E64*E$62)+(F64*F$62)+(G64*G$62)+(H64*H$62)+(I64*I$62)</f>
        <v>395</v>
      </c>
      <c r="K64" s="15">
        <f>IF(D64&gt;=100, 250, IF(D64&gt;=50, 150, IF(D64&gt;=30, 50, "")))</f>
        <v>150</v>
      </c>
      <c r="L64" s="15" t="str">
        <f>IF(E64=5, 200, IF(E64=3, 150, IF(E64=2, 50, "")))</f>
        <v/>
      </c>
      <c r="M64" s="15" t="str">
        <f>IF(H64=3,100,IF(H64=5,200,""))</f>
        <v/>
      </c>
      <c r="N64" s="15"/>
      <c r="O64" s="15"/>
      <c r="P64" s="16"/>
      <c r="Q64" s="16"/>
      <c r="R64" s="17">
        <f>SUM(K64:Q64)</f>
        <v>150</v>
      </c>
      <c r="T64" s="14">
        <f>(R64+J64)*2</f>
        <v>1090</v>
      </c>
      <c r="V64" s="28">
        <v>1</v>
      </c>
      <c r="W64" s="29">
        <v>45752</v>
      </c>
      <c r="X64" s="28">
        <v>3045</v>
      </c>
      <c r="Y64" s="28">
        <v>-1065</v>
      </c>
      <c r="Z64" s="28">
        <v>-1060</v>
      </c>
      <c r="AA64" s="28">
        <v>-920</v>
      </c>
    </row>
    <row r="65" spans="2:27" x14ac:dyDescent="0.3">
      <c r="B65" s="67"/>
      <c r="C65" s="4" t="s">
        <v>249</v>
      </c>
      <c r="D65" s="18">
        <v>1</v>
      </c>
      <c r="E65" s="1">
        <v>1</v>
      </c>
      <c r="F65" s="1"/>
      <c r="G65" s="1"/>
      <c r="H65" s="1"/>
      <c r="I65" s="1"/>
      <c r="J65" s="19">
        <f>(D65*D$62)+(E65*E$62)+(F65*F$62)+(G65*G$62)+(H65*H$62)+(I65*I$62)</f>
        <v>105</v>
      </c>
      <c r="K65" s="15" t="str">
        <f>IF(D65&gt;=100, 250, IF(D65&gt;=50, 150, IF(D65&gt;=30, 50, "")))</f>
        <v/>
      </c>
      <c r="L65" s="20" t="str">
        <f>IF(E65=5, 200, IF(E65=3, 150, IF(E65=2, 50, "")))</f>
        <v/>
      </c>
      <c r="M65" s="20" t="str">
        <f>IF(H65=3,100,IF(H65=5,200,""))</f>
        <v/>
      </c>
      <c r="N65" s="20"/>
      <c r="O65" s="20"/>
      <c r="P65" s="1"/>
      <c r="Q65" s="1"/>
      <c r="R65" s="17">
        <f>SUM(K65:Q65)</f>
        <v>0</v>
      </c>
      <c r="T65" s="14">
        <f>R65+J65</f>
        <v>105</v>
      </c>
      <c r="V65" s="28">
        <v>2</v>
      </c>
      <c r="W65" s="29">
        <v>45752</v>
      </c>
      <c r="X65" s="45">
        <v>-620</v>
      </c>
      <c r="Y65" s="45">
        <v>-785</v>
      </c>
      <c r="Z65" s="45">
        <v>-430</v>
      </c>
      <c r="AA65" s="45">
        <v>1835</v>
      </c>
    </row>
    <row r="66" spans="2:27" x14ac:dyDescent="0.3">
      <c r="B66" s="67"/>
      <c r="C66" s="4" t="s">
        <v>66</v>
      </c>
      <c r="D66" s="18">
        <v>42</v>
      </c>
      <c r="E66" s="1"/>
      <c r="F66" s="1"/>
      <c r="G66" s="1"/>
      <c r="H66" s="1"/>
      <c r="I66" s="1"/>
      <c r="J66" s="19">
        <f>(D66*D$62)+(E66*E$62)+(F66*F$62)+(G66*G$62)+(H66*H$62)+(I66*I$62)</f>
        <v>210</v>
      </c>
      <c r="K66" s="15">
        <f>IF(D66&gt;=100, 250, IF(D66&gt;=50, 150, IF(D66&gt;=30, 50, "")))</f>
        <v>50</v>
      </c>
      <c r="L66" s="20" t="str">
        <f>IF(E66=5, 200, IF(E66=3, 150, IF(E66=2, 50, "")))</f>
        <v/>
      </c>
      <c r="M66" s="20" t="str">
        <f>IF(H66=3,100,IF(H66=5,200,""))</f>
        <v/>
      </c>
      <c r="N66" s="20"/>
      <c r="O66" s="20"/>
      <c r="P66" s="1"/>
      <c r="Q66" s="1"/>
      <c r="R66" s="17">
        <f>SUM(K66:Q66)</f>
        <v>50</v>
      </c>
      <c r="T66" s="14">
        <f>R66+J66</f>
        <v>260</v>
      </c>
      <c r="V66" s="28">
        <v>3</v>
      </c>
      <c r="W66" s="44">
        <v>45753</v>
      </c>
      <c r="X66" s="28">
        <v>2060</v>
      </c>
      <c r="Y66" s="28">
        <v>-650</v>
      </c>
      <c r="Z66" s="28">
        <v>-775</v>
      </c>
      <c r="AA66" s="28">
        <v>-635</v>
      </c>
    </row>
    <row r="67" spans="2:27" x14ac:dyDescent="0.3">
      <c r="B67" s="67"/>
      <c r="C67" s="4" t="s">
        <v>250</v>
      </c>
      <c r="D67" s="18">
        <v>34</v>
      </c>
      <c r="E67" s="1"/>
      <c r="F67" s="1"/>
      <c r="G67" s="1"/>
      <c r="H67" s="1"/>
      <c r="I67" s="1"/>
      <c r="J67" s="19">
        <f>(D67*D$62)+(E67*E$62)+(F67*F$62)+(G67*G$62)+(H67*H$62)+(I67*I$62)</f>
        <v>170</v>
      </c>
      <c r="K67" s="15">
        <f>IF(D67&gt;=100, 250, IF(D67&gt;=50, 150, IF(D67&gt;=30, 50, "")))</f>
        <v>50</v>
      </c>
      <c r="L67" s="20" t="str">
        <f>IF(E67=5, 200, IF(E67=3, 150, IF(E67=2, 50, "")))</f>
        <v/>
      </c>
      <c r="M67" s="20" t="str">
        <f>IF(H67=3,100,IF(H67=5,200,""))</f>
        <v/>
      </c>
      <c r="N67" s="20"/>
      <c r="O67" s="20"/>
      <c r="P67" s="1"/>
      <c r="Q67" s="1"/>
      <c r="R67" s="17">
        <f>SUM(K67:Q67)</f>
        <v>50</v>
      </c>
      <c r="T67" s="14">
        <f>R67+J67</f>
        <v>220</v>
      </c>
      <c r="V67" s="28">
        <v>4</v>
      </c>
      <c r="W67" s="44">
        <v>45754</v>
      </c>
      <c r="X67" s="28">
        <v>330</v>
      </c>
      <c r="Y67" s="28">
        <v>-330</v>
      </c>
      <c r="Z67" s="28">
        <v>330</v>
      </c>
      <c r="AA67" s="28">
        <v>-330</v>
      </c>
    </row>
    <row r="68" spans="2:27" ht="15" thickBot="1" x14ac:dyDescent="0.35">
      <c r="B68" s="68"/>
      <c r="C68" s="21" t="s">
        <v>68</v>
      </c>
      <c r="D68" s="9"/>
      <c r="E68" s="10">
        <v>2</v>
      </c>
      <c r="F68" s="10"/>
      <c r="G68" s="10"/>
      <c r="H68" s="10">
        <v>1</v>
      </c>
      <c r="I68" s="10"/>
      <c r="J68" s="11">
        <f>(D68*D$62)+(E68*E$62)+(F68*F$62)+(G68*G$62)+(H68*H$62)+(I68*I$62)</f>
        <v>250</v>
      </c>
      <c r="K68" s="12" t="str">
        <f>IF(D68&gt;=100, 250, IF(D68&gt;=50, 150, IF(D68&gt;=30, 50, "")))</f>
        <v/>
      </c>
      <c r="L68" s="12">
        <f>IF(E68=5, 200, IF(E68=3, 150, IF(E68=2, 50, "")))</f>
        <v>50</v>
      </c>
      <c r="M68" s="12" t="str">
        <f>IF(H68=3,100,IF(H68=5,200,""))</f>
        <v/>
      </c>
      <c r="N68" s="12"/>
      <c r="O68" s="12"/>
      <c r="P68" s="10"/>
      <c r="Q68" s="10"/>
      <c r="R68" s="13">
        <f>SUM(K68:Q68)</f>
        <v>50</v>
      </c>
      <c r="T68" s="22">
        <f>(R68+J68)</f>
        <v>300</v>
      </c>
      <c r="V68" s="28">
        <v>5</v>
      </c>
      <c r="W68" s="29">
        <v>45755</v>
      </c>
      <c r="X68" s="28">
        <v>4760</v>
      </c>
      <c r="Y68" s="28">
        <v>-720</v>
      </c>
      <c r="Z68" s="28">
        <v>-2345</v>
      </c>
      <c r="AA68" s="28">
        <v>-1695</v>
      </c>
    </row>
    <row r="69" spans="2:27" ht="15" thickBot="1" x14ac:dyDescent="0.35">
      <c r="T69" s="37">
        <f>SUM(T64:T68)</f>
        <v>1975</v>
      </c>
      <c r="V69" s="28">
        <v>6</v>
      </c>
      <c r="W69" s="29">
        <v>45755</v>
      </c>
      <c r="X69" s="28">
        <f>-(Y69+Z69+AA69)</f>
        <v>3530</v>
      </c>
      <c r="Y69" s="28">
        <f>T75-T69</f>
        <v>-1475</v>
      </c>
      <c r="Z69" s="28">
        <f>T81-T69</f>
        <v>-1200</v>
      </c>
      <c r="AA69" s="28">
        <f>T87-T69</f>
        <v>-855</v>
      </c>
    </row>
    <row r="70" spans="2:27" x14ac:dyDescent="0.3">
      <c r="B70" s="66" t="s">
        <v>96</v>
      </c>
      <c r="C70" s="39" t="s">
        <v>129</v>
      </c>
      <c r="D70" s="23">
        <v>9</v>
      </c>
      <c r="E70" s="6"/>
      <c r="F70" s="6"/>
      <c r="G70" s="6"/>
      <c r="H70" s="6"/>
      <c r="I70" s="6"/>
      <c r="J70" s="7">
        <f>(D70*D$62)+(E70*E$62)+(F70*F$62)+(G70*G$62)+(H70*H$62)+(I70*I$62)</f>
        <v>45</v>
      </c>
      <c r="K70" s="5" t="str">
        <f>IF(D70&gt;=100, 250, IF(D70&gt;=50, 150, IF(D70&gt;=30, 50, "")))</f>
        <v/>
      </c>
      <c r="L70" s="23" t="str">
        <f>IF(E70=5, 200, IF(E70=3, 150, IF(E70=2, 50, "")))</f>
        <v/>
      </c>
      <c r="M70" s="23" t="str">
        <f>IF(H70=3,100,IF(H70=5,200,""))</f>
        <v/>
      </c>
      <c r="N70" s="23"/>
      <c r="O70" s="23"/>
      <c r="P70" s="6"/>
      <c r="Q70" s="6"/>
      <c r="R70" s="24">
        <f>SUM(K70:Q70)</f>
        <v>0</v>
      </c>
      <c r="T70" s="33">
        <f>(R70+J70)*2</f>
        <v>90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 t="s">
        <v>134</v>
      </c>
      <c r="D71" s="20">
        <v>0</v>
      </c>
      <c r="E71" s="1"/>
      <c r="F71" s="1"/>
      <c r="G71" s="1">
        <v>1</v>
      </c>
      <c r="H71" s="1"/>
      <c r="I71" s="1">
        <v>1</v>
      </c>
      <c r="J71" s="19">
        <f>(D71*D$62)+(E71*E$62)+(F71*F$62)+(G71*G$62)+(H71*H$62)+(I71*I$62)</f>
        <v>0</v>
      </c>
      <c r="K71" s="43" t="str">
        <f>IF(D71&gt;=100, 250, IF(D71&gt;=50, 150, IF(D71&gt;=30, 50, "")))</f>
        <v/>
      </c>
      <c r="L71" s="20" t="str">
        <f>IF(E71=5, 200, IF(E71=3, 150, IF(E71=2, 50, "")))</f>
        <v/>
      </c>
      <c r="M71" s="20" t="str">
        <f>IF(H71=3,100,IF(H71=5,200,""))</f>
        <v/>
      </c>
      <c r="N71" s="20"/>
      <c r="O71" s="20"/>
      <c r="P71" s="1"/>
      <c r="Q71" s="1"/>
      <c r="R71" s="17">
        <f>SUM(K71:Q71)</f>
        <v>0</v>
      </c>
      <c r="T71" s="14">
        <f>R71+J71</f>
        <v>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 t="s">
        <v>26</v>
      </c>
      <c r="D72" s="20"/>
      <c r="E72" s="1">
        <v>1</v>
      </c>
      <c r="F72" s="1"/>
      <c r="G72" s="1"/>
      <c r="H72" s="1"/>
      <c r="I72" s="1"/>
      <c r="J72" s="19">
        <f>(D72*D$62)+(E72*E$62)+(F72*F$62)+(G72*G$62)+(H72*H$62)+(I72*I$62)</f>
        <v>100</v>
      </c>
      <c r="K72" s="43" t="str">
        <f>IF(D72&gt;=100, 250, IF(D72&gt;=50, 150, IF(D72&gt;=30, 50, "")))</f>
        <v/>
      </c>
      <c r="L72" s="20" t="str">
        <f>IF(E72=5, 200, IF(E72=3, 150, IF(E72=2, 50, "")))</f>
        <v/>
      </c>
      <c r="M72" s="20" t="str">
        <f>IF(H72=3,100,IF(H72=5,200,""))</f>
        <v/>
      </c>
      <c r="N72" s="20"/>
      <c r="O72" s="20"/>
      <c r="P72" s="1"/>
      <c r="Q72" s="1"/>
      <c r="R72" s="17">
        <f>SUM(K72:Q72)</f>
        <v>0</v>
      </c>
      <c r="T72" s="14">
        <f>R72+J72</f>
        <v>100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 t="s">
        <v>77</v>
      </c>
      <c r="D73" s="20"/>
      <c r="E73" s="1">
        <v>2</v>
      </c>
      <c r="F73" s="1"/>
      <c r="G73" s="1"/>
      <c r="H73" s="1"/>
      <c r="I73" s="1"/>
      <c r="J73" s="19">
        <f>(D73*D$62)+(E73*E$62)+(F73*F$62)+(G73*G$62)+(H73*H$62)+(I73*I$62)</f>
        <v>200</v>
      </c>
      <c r="K73" s="43" t="str">
        <f>IF(D73&gt;=100, 250, IF(D73&gt;=50, 150, IF(D73&gt;=30, 50, "")))</f>
        <v/>
      </c>
      <c r="L73" s="20">
        <f>IF(E73=5, 200, IF(E73=3, 150, IF(E73=2, 50, "")))</f>
        <v>50</v>
      </c>
      <c r="M73" s="20" t="str">
        <f>IF(H73=3,100,IF(H73=5,200,""))</f>
        <v/>
      </c>
      <c r="N73" s="20"/>
      <c r="O73" s="20"/>
      <c r="P73" s="1"/>
      <c r="Q73" s="1"/>
      <c r="R73" s="17">
        <f>SUM(K73:Q73)</f>
        <v>50</v>
      </c>
      <c r="T73" s="14">
        <f>R73+J73</f>
        <v>250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 t="s">
        <v>246</v>
      </c>
      <c r="D74" s="12">
        <v>2</v>
      </c>
      <c r="E74" s="10"/>
      <c r="F74" s="10"/>
      <c r="G74" s="10"/>
      <c r="H74" s="10">
        <v>1</v>
      </c>
      <c r="I74" s="10"/>
      <c r="J74" s="11">
        <f>(D74*D$62)+(E74*E$62)+(F74*F$62)+(G74*G$62)+(H74*H$62)+(I74*I$62)</f>
        <v>60</v>
      </c>
      <c r="K74" s="9" t="str">
        <f>IF(D74&gt;=100, 250, IF(D74&gt;=50, 150, IF(D74&gt;=30, 50, "")))</f>
        <v/>
      </c>
      <c r="L74" s="12" t="str">
        <f>IF(E74=5, 200, IF(E74=3, 150, IF(E74=2, 50, "")))</f>
        <v/>
      </c>
      <c r="M74" s="12" t="str">
        <f>IF(H74=3,100,IF(H74=5,200,""))</f>
        <v/>
      </c>
      <c r="N74" s="12"/>
      <c r="O74" s="12"/>
      <c r="P74" s="10"/>
      <c r="Q74" s="10"/>
      <c r="R74" s="13">
        <f>SUM(K74:Q74)</f>
        <v>0</v>
      </c>
      <c r="T74" s="34">
        <f>R74+J74</f>
        <v>60</v>
      </c>
      <c r="V74" s="28"/>
      <c r="W74" s="29"/>
      <c r="X74" s="28"/>
      <c r="Y74" s="28"/>
      <c r="Z74" s="28"/>
      <c r="AA74" s="28"/>
    </row>
    <row r="75" spans="2:27" ht="15" thickBot="1" x14ac:dyDescent="0.35">
      <c r="T75" s="37">
        <f>SUM(T70:T74)</f>
        <v>500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 t="s">
        <v>36</v>
      </c>
      <c r="D76" s="23">
        <v>36</v>
      </c>
      <c r="E76" s="6"/>
      <c r="F76" s="6"/>
      <c r="G76" s="6"/>
      <c r="H76" s="6"/>
      <c r="I76" s="6"/>
      <c r="J76" s="7">
        <f>(D76*D$62)+(E76*E$62)+(F76*F$62)+(G76*G$62)+(H76*H$62)+(I76*I$62)</f>
        <v>180</v>
      </c>
      <c r="K76" s="5">
        <f>IF(D76&gt;=100, 250, IF(D76&gt;=50, 150, IF(D76&gt;=30, 50, "")))</f>
        <v>50</v>
      </c>
      <c r="L76" s="23" t="str">
        <f>IF(E76=5, 200, IF(E76=3, 150, IF(E76=2, 50, "")))</f>
        <v/>
      </c>
      <c r="M76" s="23" t="str">
        <f>IF(H76=3,100,IF(H76=5,200,""))</f>
        <v/>
      </c>
      <c r="N76" s="23"/>
      <c r="O76" s="23"/>
      <c r="P76" s="6"/>
      <c r="Q76" s="6"/>
      <c r="R76" s="24">
        <f>SUM(K76:Q76)</f>
        <v>50</v>
      </c>
      <c r="T76" s="33">
        <f>(R76+J76)*2</f>
        <v>460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126</v>
      </c>
      <c r="D77" s="20">
        <v>4</v>
      </c>
      <c r="E77" s="1"/>
      <c r="F77" s="1"/>
      <c r="G77" s="1"/>
      <c r="H77" s="1"/>
      <c r="I77" s="1"/>
      <c r="J77" s="19">
        <f>(D77*D$62)+(E77*E$62)+(F77*F$62)+(G77*G$62)+(H77*H$62)+(I77*I$62)</f>
        <v>20</v>
      </c>
      <c r="K77" s="43" t="str">
        <f>IF(D77&gt;=100, 250, IF(D77&gt;=50, 150, IF(D77&gt;=30, 50, "")))</f>
        <v/>
      </c>
      <c r="L77" s="20" t="str">
        <f>IF(E77=5, 200, IF(E77=3, 150, IF(E77=2, 50, "")))</f>
        <v/>
      </c>
      <c r="M77" s="20" t="str">
        <f>IF(H77=3,100,IF(H77=5,200,""))</f>
        <v/>
      </c>
      <c r="N77" s="20"/>
      <c r="O77" s="20"/>
      <c r="P77" s="1"/>
      <c r="Q77" s="1"/>
      <c r="R77" s="17">
        <f>SUM(K77:Q77)</f>
        <v>0</v>
      </c>
      <c r="T77" s="14">
        <f>R77+J77</f>
        <v>20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 t="s">
        <v>181</v>
      </c>
      <c r="D78" s="20"/>
      <c r="E78" s="1"/>
      <c r="F78" s="1"/>
      <c r="G78" s="1"/>
      <c r="H78" s="1"/>
      <c r="I78" s="1"/>
      <c r="J78" s="19">
        <f>(D78*D$62)+(E78*E$62)+(F78*F$62)+(G78*G$62)+(H78*H$62)+(I78*I$62)</f>
        <v>0</v>
      </c>
      <c r="K78" s="43" t="str">
        <f>IF(D78&gt;=100, 250, IF(D78&gt;=50, 150, IF(D78&gt;=30, 50, "")))</f>
        <v/>
      </c>
      <c r="L78" s="20" t="str">
        <f>IF(E78=5, 200, IF(E78=3, 150, IF(E78=2, 50, "")))</f>
        <v/>
      </c>
      <c r="M78" s="20" t="str">
        <f>IF(H78=3,100,IF(H78=5,200,""))</f>
        <v/>
      </c>
      <c r="N78" s="20"/>
      <c r="O78" s="20"/>
      <c r="P78" s="1"/>
      <c r="Q78" s="1"/>
      <c r="R78" s="17">
        <f>SUM(K78:Q78)</f>
        <v>0</v>
      </c>
      <c r="T78" s="14">
        <f>R78+J78</f>
        <v>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 t="s">
        <v>191</v>
      </c>
      <c r="D79" s="20"/>
      <c r="E79" s="1">
        <v>2</v>
      </c>
      <c r="F79" s="1"/>
      <c r="G79" s="1"/>
      <c r="H79" s="1"/>
      <c r="I79" s="1"/>
      <c r="J79" s="19">
        <f>(D79*D$62)+(E79*E$62)+(F79*F$62)+(G79*G$62)+(H79*H$62)+(I79*I$62)</f>
        <v>200</v>
      </c>
      <c r="K79" s="43" t="str">
        <f>IF(D79&gt;=100, 250, IF(D79&gt;=50, 150, IF(D79&gt;=30, 50, "")))</f>
        <v/>
      </c>
      <c r="L79" s="20">
        <f>IF(E79=5, 200, IF(E79=3, 150, IF(E79=2, 50, "")))</f>
        <v>50</v>
      </c>
      <c r="M79" s="20" t="str">
        <f>IF(H79=3,100,IF(H79=5,200,""))</f>
        <v/>
      </c>
      <c r="N79" s="20"/>
      <c r="O79" s="20"/>
      <c r="P79" s="1"/>
      <c r="Q79" s="1"/>
      <c r="R79" s="17">
        <f>SUM(K79:Q79)</f>
        <v>50</v>
      </c>
      <c r="T79" s="14">
        <f>R79+J79</f>
        <v>250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 t="s">
        <v>59</v>
      </c>
      <c r="D80" s="12">
        <v>9</v>
      </c>
      <c r="E80" s="10"/>
      <c r="F80" s="10"/>
      <c r="G80" s="10"/>
      <c r="H80" s="10"/>
      <c r="I80" s="10"/>
      <c r="J80" s="11">
        <f>(D80*D$62)+(E80*E$62)+(F80*F$62)+(G80*G$62)+(H80*H$62)+(I80*I$62)</f>
        <v>45</v>
      </c>
      <c r="K80" s="9" t="str">
        <f>IF(D80&gt;=100, 250, IF(D80&gt;=50, 150, IF(D80&gt;=30, 50, "")))</f>
        <v/>
      </c>
      <c r="L80" s="12" t="str">
        <f>IF(E80=5, 200, IF(E80=3, 150, IF(E80=2, 50, "")))</f>
        <v/>
      </c>
      <c r="M80" s="12" t="str">
        <f>IF(H80=3,100,IF(H80=5,200,""))</f>
        <v/>
      </c>
      <c r="N80" s="12"/>
      <c r="O80" s="12"/>
      <c r="P80" s="10"/>
      <c r="Q80" s="10"/>
      <c r="R80" s="13">
        <f>SUM(K80:Q80)</f>
        <v>0</v>
      </c>
      <c r="T80" s="34">
        <f>R80+J80</f>
        <v>45</v>
      </c>
      <c r="V80" s="28"/>
      <c r="W80" s="29"/>
      <c r="X80" s="28"/>
      <c r="Y80" s="28"/>
      <c r="Z80" s="28"/>
      <c r="AA80" s="28"/>
    </row>
    <row r="81" spans="2:27" ht="15" thickBot="1" x14ac:dyDescent="0.35">
      <c r="T81" s="37">
        <f>SUM(T76:T80)</f>
        <v>775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 t="s">
        <v>222</v>
      </c>
      <c r="D82" s="23">
        <v>1</v>
      </c>
      <c r="E82" s="6"/>
      <c r="F82" s="6"/>
      <c r="G82" s="6"/>
      <c r="H82" s="6"/>
      <c r="I82" s="6"/>
      <c r="J82" s="7">
        <f>(D82*D$62)+(E82*E$62)+(F82*F$62)+(G82*G$62)+(H82*H$62)+(I82*I$62)</f>
        <v>5</v>
      </c>
      <c r="K82" s="5" t="str">
        <f>IF(D82&gt;=100, 250, IF(D82&gt;=50, 150, IF(D82&gt;=30, 50, "")))</f>
        <v/>
      </c>
      <c r="L82" s="23" t="str">
        <f>IF(E82=5, 200, IF(E82=3, 150, IF(E82=2, 50, "")))</f>
        <v/>
      </c>
      <c r="M82" s="23" t="str">
        <f>IF(H82=3,100,IF(H82=5,200,""))</f>
        <v/>
      </c>
      <c r="N82" s="23"/>
      <c r="O82" s="23"/>
      <c r="P82" s="6"/>
      <c r="Q82" s="6"/>
      <c r="R82" s="24">
        <f>SUM(K82:Q82)</f>
        <v>0</v>
      </c>
      <c r="T82" s="33">
        <f>(R82+J82)*2</f>
        <v>10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136</v>
      </c>
      <c r="D83" s="20">
        <v>103</v>
      </c>
      <c r="E83" s="1"/>
      <c r="F83" s="1"/>
      <c r="G83" s="1"/>
      <c r="H83" s="1"/>
      <c r="I83" s="1"/>
      <c r="J83" s="19">
        <f>(D83*D$62)+(E83*E$62)+(F83*F$62)+(G83*G$62)+(H83*H$62)+(I83*I$62)</f>
        <v>515</v>
      </c>
      <c r="K83" s="43">
        <f>IF(D83&gt;=100, 250, IF(D83&gt;=50, 150, IF(D83&gt;=30, 50, "")))</f>
        <v>250</v>
      </c>
      <c r="L83" s="20" t="str">
        <f>IF(E83=5, 200, IF(E83=3, 150, IF(E83=2, 50, "")))</f>
        <v/>
      </c>
      <c r="M83" s="20" t="str">
        <f>IF(H83=3,100,IF(H83=5,200,""))</f>
        <v/>
      </c>
      <c r="N83" s="20"/>
      <c r="O83" s="20">
        <v>150</v>
      </c>
      <c r="P83" s="1">
        <v>100</v>
      </c>
      <c r="Q83" s="1"/>
      <c r="R83" s="17">
        <f>SUM(K83:Q83)</f>
        <v>500</v>
      </c>
      <c r="T83" s="14">
        <f>R83+J83</f>
        <v>1015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 t="s">
        <v>247</v>
      </c>
      <c r="D84" s="20"/>
      <c r="E84" s="1"/>
      <c r="F84" s="1"/>
      <c r="G84" s="1"/>
      <c r="H84" s="1"/>
      <c r="I84" s="1"/>
      <c r="J84" s="19">
        <f>(D84*D$62)+(E84*E$62)+(F84*F$62)+(G84*G$62)+(H84*H$62)+(I84*I$62)</f>
        <v>0</v>
      </c>
      <c r="K84" s="43" t="str">
        <f>IF(D84&gt;=100, 250, IF(D84&gt;=50, 150, IF(D84&gt;=30, 50, "")))</f>
        <v/>
      </c>
      <c r="L84" s="20" t="str">
        <f>IF(E84=5, 200, IF(E84=3, 150, IF(E84=2, 50, "")))</f>
        <v/>
      </c>
      <c r="M84" s="20" t="str">
        <f>IF(H84=3,100,IF(H84=5,200,""))</f>
        <v/>
      </c>
      <c r="N84" s="20"/>
      <c r="O84" s="20"/>
      <c r="P84" s="1"/>
      <c r="Q84" s="1"/>
      <c r="R84" s="17">
        <f>SUM(K84:Q84)</f>
        <v>0</v>
      </c>
      <c r="T84" s="14">
        <f>R84+J84</f>
        <v>0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 t="s">
        <v>225</v>
      </c>
      <c r="D85" s="20">
        <v>9</v>
      </c>
      <c r="E85" s="1"/>
      <c r="F85" s="1"/>
      <c r="G85" s="1"/>
      <c r="H85" s="1"/>
      <c r="I85" s="1"/>
      <c r="J85" s="19">
        <f>(D85*D$62)+(E85*E$62)+(F85*F$62)+(G85*G$62)+(H85*H$62)+(I85*I$62)</f>
        <v>45</v>
      </c>
      <c r="K85" s="43" t="str">
        <f>IF(D85&gt;=100, 250, IF(D85&gt;=50, 150, IF(D85&gt;=30, 50, "")))</f>
        <v/>
      </c>
      <c r="L85" s="20" t="str">
        <f>IF(E85=5, 200, IF(E85=3, 150, IF(E85=2, 50, "")))</f>
        <v/>
      </c>
      <c r="M85" s="20" t="str">
        <f>IF(H85=3,100,IF(H85=5,200,""))</f>
        <v/>
      </c>
      <c r="N85" s="20"/>
      <c r="O85" s="20"/>
      <c r="P85" s="1"/>
      <c r="Q85" s="1"/>
      <c r="R85" s="17">
        <f>SUM(K85:Q85)</f>
        <v>0</v>
      </c>
      <c r="T85" s="14">
        <f>R85+J85</f>
        <v>45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 t="s">
        <v>127</v>
      </c>
      <c r="D86" s="12"/>
      <c r="E86" s="10"/>
      <c r="F86" s="10"/>
      <c r="G86" s="10"/>
      <c r="H86" s="10">
        <v>1</v>
      </c>
      <c r="I86" s="10"/>
      <c r="J86" s="11">
        <f>(D86*D$62)+(E86*E$62)+(F86*F$62)+(G86*G$62)+(H86*H$62)+(I86*I$62)</f>
        <v>50</v>
      </c>
      <c r="K86" s="9" t="str">
        <f>IF(D86&gt;=100, 250, IF(D86&gt;=50, 150, IF(D86&gt;=30, 50, "")))</f>
        <v/>
      </c>
      <c r="L86" s="12" t="str">
        <f>IF(E86=5, 200, IF(E86=3, 150, IF(E86=2, 50, "")))</f>
        <v/>
      </c>
      <c r="M86" s="12" t="str">
        <f>IF(H86=3,100,IF(H86=5,200,""))</f>
        <v/>
      </c>
      <c r="N86" s="12"/>
      <c r="O86" s="12"/>
      <c r="P86" s="10"/>
      <c r="Q86" s="10"/>
      <c r="R86" s="13">
        <f>SUM(K86:Q86)</f>
        <v>0</v>
      </c>
      <c r="T86" s="34">
        <f>R86+J86</f>
        <v>50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1120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AK87"/>
  <sheetViews>
    <sheetView topLeftCell="A61" zoomScale="90" zoomScaleNormal="90" workbookViewId="0">
      <selection activeCell="X69" sqref="X69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7" width="8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F3" s="47"/>
      <c r="AG3" s="47" t="s">
        <v>211</v>
      </c>
      <c r="AH3" s="48" t="s">
        <v>96</v>
      </c>
      <c r="AI3" s="48" t="s">
        <v>97</v>
      </c>
      <c r="AJ3" s="48" t="s">
        <v>98</v>
      </c>
      <c r="AK3" s="46"/>
    </row>
    <row r="4" spans="2:37" x14ac:dyDescent="0.3">
      <c r="AE4" s="46"/>
      <c r="AF4" s="49" t="s">
        <v>165</v>
      </c>
      <c r="AG4" s="49">
        <v>-4745</v>
      </c>
      <c r="AH4" s="49">
        <v>2405</v>
      </c>
      <c r="AI4" s="49">
        <v>10275</v>
      </c>
      <c r="AJ4" s="49">
        <v>-7935</v>
      </c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F5" s="49" t="s">
        <v>210</v>
      </c>
      <c r="AG5" s="49">
        <v>-5315</v>
      </c>
      <c r="AH5" s="49">
        <v>-3535</v>
      </c>
      <c r="AI5" s="49">
        <v>5950</v>
      </c>
      <c r="AJ5" s="49">
        <v>2900</v>
      </c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F6" s="49" t="s">
        <v>236</v>
      </c>
      <c r="AG6" s="49">
        <f>X31</f>
        <v>4005</v>
      </c>
      <c r="AH6" s="49">
        <f>Y31</f>
        <v>1170</v>
      </c>
      <c r="AI6" s="49">
        <f>Z31</f>
        <v>-3015</v>
      </c>
      <c r="AJ6" s="49">
        <f>AA31</f>
        <v>-2160</v>
      </c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F7" s="46"/>
      <c r="AG7" s="46"/>
      <c r="AH7" s="46"/>
      <c r="AI7" s="46"/>
      <c r="AJ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F8" s="46"/>
      <c r="AG8" s="46"/>
      <c r="AH8" s="46"/>
      <c r="AI8" s="46"/>
      <c r="AJ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6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36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36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  <c r="AF30" s="49" t="s">
        <v>0</v>
      </c>
      <c r="AG30" s="49">
        <f>SUM(AG4:AG29)</f>
        <v>-6055</v>
      </c>
      <c r="AH30" s="49">
        <f t="shared" ref="AH30:AJ30" si="0">SUM(AH4:AH29)</f>
        <v>40</v>
      </c>
      <c r="AI30" s="49">
        <f t="shared" si="0"/>
        <v>13210</v>
      </c>
      <c r="AJ30" s="49">
        <f t="shared" si="0"/>
        <v>-7195</v>
      </c>
    </row>
    <row r="31" spans="2:36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4005</v>
      </c>
      <c r="Y31" s="42">
        <f>SUM(Y32:Y39)</f>
        <v>1170</v>
      </c>
      <c r="Z31" s="42">
        <f>SUM(Z32:Z39)</f>
        <v>-3015</v>
      </c>
      <c r="AA31" s="42">
        <f>SUM(AA32:AA39)</f>
        <v>-2160</v>
      </c>
    </row>
    <row r="32" spans="2:36" x14ac:dyDescent="0.3">
      <c r="B32" s="66" t="s">
        <v>211</v>
      </c>
      <c r="C32" s="38" t="s">
        <v>231</v>
      </c>
      <c r="D32" s="5">
        <v>56</v>
      </c>
      <c r="E32" s="6"/>
      <c r="F32" s="6"/>
      <c r="G32" s="6"/>
      <c r="H32" s="6"/>
      <c r="I32" s="6"/>
      <c r="J32" s="7">
        <f>(D32*D$62)+(E32*E$62)+(F32*F$62)+(G32*G$62)+(H32*H$62)+(I32*I$62)</f>
        <v>280</v>
      </c>
      <c r="K32" s="15">
        <v>150</v>
      </c>
      <c r="L32" s="15" t="s">
        <v>258</v>
      </c>
      <c r="M32" s="15" t="s">
        <v>258</v>
      </c>
      <c r="N32" s="15"/>
      <c r="O32" s="15"/>
      <c r="P32" s="16"/>
      <c r="Q32" s="16"/>
      <c r="R32" s="17">
        <f>SUM(K32:Q32)</f>
        <v>150</v>
      </c>
      <c r="T32" s="14">
        <f>(R32+J32)*2</f>
        <v>860</v>
      </c>
      <c r="V32" s="28">
        <v>1</v>
      </c>
      <c r="W32" s="29">
        <v>45758</v>
      </c>
      <c r="X32" s="28">
        <v>4670</v>
      </c>
      <c r="Y32" s="28">
        <v>-1680</v>
      </c>
      <c r="Z32" s="28">
        <v>-1540</v>
      </c>
      <c r="AA32" s="28">
        <v>-1450</v>
      </c>
    </row>
    <row r="33" spans="2:32" x14ac:dyDescent="0.3">
      <c r="B33" s="67"/>
      <c r="C33" s="4" t="s">
        <v>212</v>
      </c>
      <c r="D33" s="18"/>
      <c r="E33" s="1">
        <v>1</v>
      </c>
      <c r="F33" s="1"/>
      <c r="G33" s="1"/>
      <c r="H33" s="1"/>
      <c r="I33" s="1"/>
      <c r="J33" s="19">
        <f>(D33*D$62)+(E33*E$62)+(F33*F$62)+(G33*G$62)+(H33*H$62)+(I33*I$62)</f>
        <v>100</v>
      </c>
      <c r="K33" s="15" t="s">
        <v>258</v>
      </c>
      <c r="L33" s="20" t="s">
        <v>258</v>
      </c>
      <c r="M33" s="20" t="s">
        <v>258</v>
      </c>
      <c r="N33" s="20"/>
      <c r="O33" s="20"/>
      <c r="P33" s="1"/>
      <c r="Q33" s="1"/>
      <c r="R33" s="17">
        <f>SUM(K33:Q33)</f>
        <v>0</v>
      </c>
      <c r="T33" s="14">
        <f>R33+J33</f>
        <v>100</v>
      </c>
      <c r="V33" s="28">
        <v>2</v>
      </c>
      <c r="W33" s="29">
        <v>45759</v>
      </c>
      <c r="X33" s="45">
        <v>-665</v>
      </c>
      <c r="Y33" s="45">
        <v>2850</v>
      </c>
      <c r="Z33" s="45">
        <v>-1475</v>
      </c>
      <c r="AA33" s="45">
        <v>-710</v>
      </c>
    </row>
    <row r="34" spans="2:32" x14ac:dyDescent="0.3">
      <c r="B34" s="67"/>
      <c r="C34" s="4" t="s">
        <v>213</v>
      </c>
      <c r="D34" s="18">
        <v>28</v>
      </c>
      <c r="E34" s="1"/>
      <c r="F34" s="1"/>
      <c r="G34" s="1"/>
      <c r="H34" s="1"/>
      <c r="I34" s="1"/>
      <c r="J34" s="19">
        <f>(D34*D$62)+(E34*E$62)+(F34*F$62)+(G34*G$62)+(H34*H$62)+(I34*I$62)</f>
        <v>140</v>
      </c>
      <c r="K34" s="15" t="s">
        <v>258</v>
      </c>
      <c r="L34" s="20" t="s">
        <v>258</v>
      </c>
      <c r="M34" s="20" t="s">
        <v>258</v>
      </c>
      <c r="N34" s="20"/>
      <c r="O34" s="20"/>
      <c r="P34" s="1"/>
      <c r="Q34" s="1"/>
      <c r="R34" s="17">
        <f>SUM(K34:Q34)</f>
        <v>0</v>
      </c>
      <c r="T34" s="14">
        <f>R34+J34</f>
        <v>140</v>
      </c>
      <c r="V34" s="28">
        <v>3</v>
      </c>
      <c r="W34" s="44"/>
      <c r="X34" s="28"/>
      <c r="Y34" s="28"/>
      <c r="Z34" s="28"/>
      <c r="AA34" s="28"/>
    </row>
    <row r="35" spans="2:32" x14ac:dyDescent="0.3">
      <c r="B35" s="67"/>
      <c r="C35" s="4" t="s">
        <v>132</v>
      </c>
      <c r="D35" s="18"/>
      <c r="E35" s="1">
        <v>2</v>
      </c>
      <c r="F35" s="1"/>
      <c r="G35" s="1"/>
      <c r="H35" s="1"/>
      <c r="I35" s="1"/>
      <c r="J35" s="19">
        <f>(D35*D$62)+(E35*E$62)+(F35*F$62)+(G35*G$62)+(H35*H$62)+(I35*I$62)</f>
        <v>200</v>
      </c>
      <c r="K35" s="15" t="s">
        <v>258</v>
      </c>
      <c r="L35" s="20">
        <v>50</v>
      </c>
      <c r="M35" s="20" t="s">
        <v>258</v>
      </c>
      <c r="N35" s="20"/>
      <c r="O35" s="20"/>
      <c r="P35" s="1"/>
      <c r="Q35" s="1"/>
      <c r="R35" s="17">
        <f>SUM(K35:Q35)</f>
        <v>50</v>
      </c>
      <c r="T35" s="14">
        <f>R35+J35</f>
        <v>250</v>
      </c>
      <c r="V35" s="28">
        <v>4</v>
      </c>
      <c r="W35" s="44"/>
      <c r="X35" s="28"/>
      <c r="Y35" s="28"/>
      <c r="Z35" s="28"/>
      <c r="AA35" s="28"/>
      <c r="AE35" s="50" t="s">
        <v>5</v>
      </c>
      <c r="AF35" s="50" t="s">
        <v>235</v>
      </c>
    </row>
    <row r="36" spans="2:32" ht="15" thickBot="1" x14ac:dyDescent="0.35">
      <c r="B36" s="68"/>
      <c r="C36" s="21" t="s">
        <v>148</v>
      </c>
      <c r="D36" s="9"/>
      <c r="E36" s="10">
        <v>1</v>
      </c>
      <c r="F36" s="10"/>
      <c r="G36" s="10"/>
      <c r="H36" s="10"/>
      <c r="I36" s="10"/>
      <c r="J36" s="11">
        <f>(D36*D$62)+(E36*E$62)+(F36*F$62)+(G36*G$62)+(H36*H$62)+(I36*I$62)</f>
        <v>100</v>
      </c>
      <c r="K36" s="12" t="s">
        <v>258</v>
      </c>
      <c r="L36" s="12" t="s">
        <v>258</v>
      </c>
      <c r="M36" s="12" t="s">
        <v>258</v>
      </c>
      <c r="N36" s="12"/>
      <c r="O36" s="12"/>
      <c r="P36" s="10"/>
      <c r="Q36" s="10"/>
      <c r="R36" s="13">
        <f>SUM(K36:Q36)</f>
        <v>0</v>
      </c>
      <c r="T36" s="22">
        <f>(R36+J36)</f>
        <v>100</v>
      </c>
      <c r="V36" s="28">
        <v>5</v>
      </c>
      <c r="W36" s="29"/>
      <c r="X36" s="28"/>
      <c r="Y36" s="28"/>
      <c r="Z36" s="28"/>
      <c r="AA36" s="28"/>
      <c r="AE36" s="28" t="s">
        <v>211</v>
      </c>
      <c r="AF36" s="28">
        <f>T37</f>
        <v>1450</v>
      </c>
    </row>
    <row r="37" spans="2:32" ht="15" thickBot="1" x14ac:dyDescent="0.35">
      <c r="T37" s="37">
        <f>SUM(T32:T36)</f>
        <v>1450</v>
      </c>
      <c r="V37" s="28">
        <v>6</v>
      </c>
      <c r="W37" s="29"/>
      <c r="X37" s="28"/>
      <c r="Y37" s="28"/>
      <c r="Z37" s="28"/>
      <c r="AA37" s="28"/>
      <c r="AE37" s="28" t="s">
        <v>96</v>
      </c>
      <c r="AF37" s="28">
        <f>T43</f>
        <v>2115</v>
      </c>
    </row>
    <row r="38" spans="2:32" x14ac:dyDescent="0.3">
      <c r="B38" s="66" t="s">
        <v>96</v>
      </c>
      <c r="C38" s="39" t="s">
        <v>53</v>
      </c>
      <c r="D38" s="23">
        <v>61</v>
      </c>
      <c r="E38" s="6"/>
      <c r="F38" s="6"/>
      <c r="G38" s="6"/>
      <c r="H38" s="6">
        <v>1</v>
      </c>
      <c r="I38" s="6"/>
      <c r="J38" s="7">
        <f>(D38*D$62)+(E38*E$62)+(F38*F$62)+(G38*G$62)+(H38*H$62)+(I38*I$62)</f>
        <v>355</v>
      </c>
      <c r="K38" s="5">
        <v>150</v>
      </c>
      <c r="L38" s="23" t="s">
        <v>258</v>
      </c>
      <c r="M38" s="23" t="s">
        <v>258</v>
      </c>
      <c r="N38" s="23"/>
      <c r="O38" s="23">
        <v>150</v>
      </c>
      <c r="P38" s="6"/>
      <c r="Q38" s="6"/>
      <c r="R38" s="24">
        <f>SUM(K38:Q38)</f>
        <v>300</v>
      </c>
      <c r="T38" s="33">
        <f>(R38+J38)*2</f>
        <v>1310</v>
      </c>
      <c r="V38" s="28">
        <v>7</v>
      </c>
      <c r="W38" s="29"/>
      <c r="X38" s="28"/>
      <c r="Y38" s="28"/>
      <c r="Z38" s="28"/>
      <c r="AA38" s="28"/>
      <c r="AE38" s="28" t="s">
        <v>97</v>
      </c>
      <c r="AF38" s="28">
        <f>T49</f>
        <v>640</v>
      </c>
    </row>
    <row r="39" spans="2:32" x14ac:dyDescent="0.3">
      <c r="B39" s="67"/>
      <c r="C39" s="19" t="s">
        <v>116</v>
      </c>
      <c r="D39" s="20">
        <v>58</v>
      </c>
      <c r="E39" s="1"/>
      <c r="F39" s="1"/>
      <c r="G39" s="1"/>
      <c r="H39" s="1">
        <v>2</v>
      </c>
      <c r="I39" s="1"/>
      <c r="J39" s="19">
        <f>(D39*D$62)+(E39*E$62)+(F39*F$62)+(G39*G$62)+(H39*H$62)+(I39*I$62)</f>
        <v>390</v>
      </c>
      <c r="K39" s="43">
        <v>150</v>
      </c>
      <c r="L39" s="20" t="s">
        <v>258</v>
      </c>
      <c r="M39" s="20" t="s">
        <v>258</v>
      </c>
      <c r="N39" s="20"/>
      <c r="O39" s="20"/>
      <c r="P39" s="1"/>
      <c r="Q39" s="1"/>
      <c r="R39" s="17">
        <f>SUM(K39:Q39)</f>
        <v>150</v>
      </c>
      <c r="T39" s="14">
        <f>R39+J39</f>
        <v>540</v>
      </c>
      <c r="V39" s="28">
        <v>8</v>
      </c>
      <c r="W39" s="29"/>
      <c r="X39" s="28"/>
      <c r="Y39" s="28"/>
      <c r="Z39" s="28"/>
      <c r="AA39" s="28"/>
      <c r="AE39" s="28" t="s">
        <v>98</v>
      </c>
      <c r="AF39" s="28">
        <f>T55</f>
        <v>1405</v>
      </c>
    </row>
    <row r="40" spans="2:32" x14ac:dyDescent="0.3">
      <c r="B40" s="67"/>
      <c r="C40" s="19" t="s">
        <v>230</v>
      </c>
      <c r="D40" s="20">
        <v>2</v>
      </c>
      <c r="E40" s="1">
        <v>1</v>
      </c>
      <c r="F40" s="1"/>
      <c r="G40" s="1"/>
      <c r="H40" s="1">
        <v>1</v>
      </c>
      <c r="I40" s="1"/>
      <c r="J40" s="19">
        <f>(D40*D$62)+(E40*E$62)+(F40*F$62)+(G40*G$62)+(H40*H$62)+(I40*I$62)</f>
        <v>160</v>
      </c>
      <c r="K40" s="43" t="s">
        <v>258</v>
      </c>
      <c r="L40" s="20" t="s">
        <v>258</v>
      </c>
      <c r="M40" s="20" t="s">
        <v>258</v>
      </c>
      <c r="N40" s="20"/>
      <c r="O40" s="20"/>
      <c r="P40" s="1"/>
      <c r="Q40" s="1"/>
      <c r="R40" s="17">
        <f>SUM(K40:Q40)</f>
        <v>0</v>
      </c>
      <c r="T40" s="14">
        <f>R40+J40</f>
        <v>160</v>
      </c>
      <c r="V40" s="28"/>
      <c r="W40" s="29"/>
      <c r="X40" s="28"/>
      <c r="Y40" s="28"/>
      <c r="Z40" s="28"/>
      <c r="AA40" s="28"/>
    </row>
    <row r="41" spans="2:32" x14ac:dyDescent="0.3">
      <c r="B41" s="67"/>
      <c r="C41" s="19" t="s">
        <v>137</v>
      </c>
      <c r="D41" s="20">
        <v>11</v>
      </c>
      <c r="E41" s="1"/>
      <c r="F41" s="1"/>
      <c r="G41" s="1"/>
      <c r="H41" s="1">
        <v>1</v>
      </c>
      <c r="I41" s="1"/>
      <c r="J41" s="19">
        <f>(D41*D$62)+(E41*E$62)+(F41*F$62)+(G41*G$62)+(H41*H$62)+(I41*I$62)</f>
        <v>105</v>
      </c>
      <c r="K41" s="43" t="s">
        <v>258</v>
      </c>
      <c r="L41" s="20" t="s">
        <v>258</v>
      </c>
      <c r="M41" s="20" t="s">
        <v>258</v>
      </c>
      <c r="N41" s="20"/>
      <c r="O41" s="20"/>
      <c r="P41" s="1"/>
      <c r="Q41" s="1"/>
      <c r="R41" s="17">
        <f>SUM(K41:Q41)</f>
        <v>0</v>
      </c>
      <c r="T41" s="14">
        <f>R41+J41</f>
        <v>105</v>
      </c>
      <c r="V41" s="28"/>
      <c r="W41" s="29"/>
      <c r="X41" s="28"/>
      <c r="Y41" s="28"/>
      <c r="Z41" s="28"/>
      <c r="AA41" s="28"/>
    </row>
    <row r="42" spans="2:32" ht="15" thickBot="1" x14ac:dyDescent="0.35">
      <c r="B42" s="68"/>
      <c r="C42" s="11" t="s">
        <v>21</v>
      </c>
      <c r="D42" s="12"/>
      <c r="E42" s="10"/>
      <c r="F42" s="10"/>
      <c r="G42" s="10"/>
      <c r="H42" s="10"/>
      <c r="I42" s="10"/>
      <c r="J42" s="11">
        <f>(D42*D$62)+(E42*E$62)+(F42*F$62)+(G42*G$62)+(H42*H$62)+(I42*I$62)</f>
        <v>0</v>
      </c>
      <c r="K42" s="9" t="s">
        <v>258</v>
      </c>
      <c r="L42" s="12" t="s">
        <v>258</v>
      </c>
      <c r="M42" s="12" t="s">
        <v>258</v>
      </c>
      <c r="N42" s="12"/>
      <c r="O42" s="12"/>
      <c r="P42" s="10"/>
      <c r="Q42" s="10"/>
      <c r="R42" s="13">
        <f>SUM(K42:Q42)</f>
        <v>0</v>
      </c>
      <c r="T42" s="34">
        <f>R42+J42</f>
        <v>0</v>
      </c>
      <c r="V42" s="28"/>
      <c r="W42" s="29"/>
      <c r="X42" s="28"/>
      <c r="Y42" s="28"/>
      <c r="Z42" s="28"/>
      <c r="AA42" s="28"/>
    </row>
    <row r="43" spans="2:32" ht="15" thickBot="1" x14ac:dyDescent="0.35">
      <c r="T43" s="37">
        <f>SUM(T38:T42)</f>
        <v>2115</v>
      </c>
      <c r="V43" s="28"/>
      <c r="W43" s="29"/>
      <c r="X43" s="28"/>
      <c r="Y43" s="28"/>
      <c r="Z43" s="28"/>
      <c r="AA43" s="28"/>
    </row>
    <row r="44" spans="2:32" x14ac:dyDescent="0.3">
      <c r="B44" s="66" t="s">
        <v>97</v>
      </c>
      <c r="C44" s="39" t="s">
        <v>262</v>
      </c>
      <c r="D44" s="23">
        <v>16</v>
      </c>
      <c r="E44" s="6"/>
      <c r="F44" s="6"/>
      <c r="G44" s="6"/>
      <c r="H44" s="6"/>
      <c r="I44" s="6"/>
      <c r="J44" s="7">
        <f>(D44*D$62)+(E44*E$62)+(F44*F$62)+(G44*G$62)+(H44*H$62)+(I44*I$62)</f>
        <v>80</v>
      </c>
      <c r="K44" s="5" t="s">
        <v>258</v>
      </c>
      <c r="L44" s="23" t="s">
        <v>258</v>
      </c>
      <c r="M44" s="23" t="s">
        <v>258</v>
      </c>
      <c r="N44" s="23"/>
      <c r="O44" s="23"/>
      <c r="P44" s="6"/>
      <c r="Q44" s="6"/>
      <c r="R44" s="24">
        <f>SUM(K44:Q44)</f>
        <v>0</v>
      </c>
      <c r="T44" s="33">
        <f>(R44+J44)*2</f>
        <v>160</v>
      </c>
      <c r="V44" s="28"/>
      <c r="W44" s="29"/>
      <c r="X44" s="28"/>
      <c r="Y44" s="28"/>
      <c r="Z44" s="28"/>
      <c r="AA44" s="28"/>
    </row>
    <row r="45" spans="2:32" x14ac:dyDescent="0.3">
      <c r="B45" s="67"/>
      <c r="C45" s="19" t="s">
        <v>263</v>
      </c>
      <c r="D45" s="20">
        <v>22</v>
      </c>
      <c r="E45" s="1"/>
      <c r="F45" s="1"/>
      <c r="G45" s="1"/>
      <c r="H45" s="1"/>
      <c r="I45" s="1"/>
      <c r="J45" s="19">
        <f>(D45*D$62)+(E45*E$62)+(F45*F$62)+(G45*G$62)+(H45*H$62)+(I45*I$62)</f>
        <v>110</v>
      </c>
      <c r="K45" s="43" t="s">
        <v>258</v>
      </c>
      <c r="L45" s="20" t="s">
        <v>258</v>
      </c>
      <c r="M45" s="20" t="s">
        <v>258</v>
      </c>
      <c r="N45" s="20"/>
      <c r="O45" s="20"/>
      <c r="P45" s="1"/>
      <c r="Q45" s="1"/>
      <c r="R45" s="17">
        <f>SUM(K45:Q45)</f>
        <v>0</v>
      </c>
      <c r="T45" s="14">
        <f>R45+J45</f>
        <v>110</v>
      </c>
      <c r="V45" s="28"/>
      <c r="W45" s="29"/>
      <c r="X45" s="28"/>
      <c r="Y45" s="28"/>
      <c r="Z45" s="28"/>
      <c r="AA45" s="28"/>
    </row>
    <row r="46" spans="2:32" x14ac:dyDescent="0.3">
      <c r="B46" s="67"/>
      <c r="C46" s="19" t="s">
        <v>135</v>
      </c>
      <c r="D46" s="20">
        <v>4</v>
      </c>
      <c r="E46" s="1">
        <v>1</v>
      </c>
      <c r="F46" s="1"/>
      <c r="G46" s="1"/>
      <c r="H46" s="1"/>
      <c r="I46" s="1"/>
      <c r="J46" s="19">
        <f>(D46*D$62)+(E46*E$62)+(F46*F$62)+(G46*G$62)+(H46*H$62)+(I46*I$62)</f>
        <v>120</v>
      </c>
      <c r="K46" s="43" t="s">
        <v>258</v>
      </c>
      <c r="L46" s="20" t="s">
        <v>258</v>
      </c>
      <c r="M46" s="20" t="s">
        <v>258</v>
      </c>
      <c r="N46" s="20"/>
      <c r="O46" s="20"/>
      <c r="P46" s="1"/>
      <c r="Q46" s="1"/>
      <c r="R46" s="17">
        <f>SUM(K46:Q46)</f>
        <v>0</v>
      </c>
      <c r="T46" s="14">
        <f>R46+J46</f>
        <v>120</v>
      </c>
      <c r="V46" s="28"/>
      <c r="W46" s="29"/>
      <c r="X46" s="28"/>
      <c r="Y46" s="28"/>
      <c r="Z46" s="28"/>
      <c r="AA46" s="28"/>
    </row>
    <row r="47" spans="2:32" x14ac:dyDescent="0.3">
      <c r="B47" s="67"/>
      <c r="C47" s="19" t="s">
        <v>264</v>
      </c>
      <c r="D47" s="20"/>
      <c r="E47" s="1"/>
      <c r="F47" s="1"/>
      <c r="G47" s="1"/>
      <c r="H47" s="1"/>
      <c r="I47" s="1"/>
      <c r="J47" s="19">
        <f>(D47*D$62)+(E47*E$62)+(F47*F$62)+(G47*G$62)+(H47*H$62)+(I47*I$62)</f>
        <v>0</v>
      </c>
      <c r="K47" s="43" t="s">
        <v>258</v>
      </c>
      <c r="L47" s="20" t="s">
        <v>258</v>
      </c>
      <c r="M47" s="20" t="s">
        <v>258</v>
      </c>
      <c r="N47" s="20"/>
      <c r="O47" s="20"/>
      <c r="P47" s="1"/>
      <c r="Q47" s="1"/>
      <c r="R47" s="17">
        <f>SUM(K47:Q47)</f>
        <v>0</v>
      </c>
      <c r="T47" s="14">
        <f>R47+J47</f>
        <v>0</v>
      </c>
      <c r="V47" s="28"/>
      <c r="W47" s="29"/>
      <c r="X47" s="28"/>
      <c r="Y47" s="28"/>
      <c r="Z47" s="28"/>
      <c r="AA47" s="28"/>
    </row>
    <row r="48" spans="2:32" ht="15" thickBot="1" x14ac:dyDescent="0.35">
      <c r="B48" s="68"/>
      <c r="C48" s="11" t="s">
        <v>54</v>
      </c>
      <c r="D48" s="12"/>
      <c r="E48" s="10">
        <v>2</v>
      </c>
      <c r="F48" s="10"/>
      <c r="G48" s="10"/>
      <c r="H48" s="10"/>
      <c r="I48" s="10"/>
      <c r="J48" s="11">
        <f>(D48*D$62)+(E48*E$62)+(F48*F$62)+(G48*G$62)+(H48*H$62)+(I48*I$62)</f>
        <v>200</v>
      </c>
      <c r="K48" s="9" t="s">
        <v>258</v>
      </c>
      <c r="L48" s="20">
        <v>50</v>
      </c>
      <c r="M48" s="12" t="s">
        <v>258</v>
      </c>
      <c r="N48" s="12"/>
      <c r="O48" s="12"/>
      <c r="P48" s="10"/>
      <c r="Q48" s="10"/>
      <c r="R48" s="13">
        <f>SUM(K48:Q48)</f>
        <v>50</v>
      </c>
      <c r="T48" s="34">
        <f>R48+J48</f>
        <v>250</v>
      </c>
      <c r="V48" s="28"/>
      <c r="W48" s="29"/>
      <c r="X48" s="28"/>
      <c r="Y48" s="28"/>
      <c r="Z48" s="28"/>
      <c r="AA48" s="28"/>
    </row>
    <row r="49" spans="2:27" ht="15" thickBot="1" x14ac:dyDescent="0.35">
      <c r="T49" s="37">
        <f>SUM(T44:T48)</f>
        <v>640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120</v>
      </c>
      <c r="D50" s="23">
        <v>60</v>
      </c>
      <c r="E50" s="6"/>
      <c r="F50" s="6"/>
      <c r="G50" s="6"/>
      <c r="H50" s="6">
        <v>1</v>
      </c>
      <c r="I50" s="6"/>
      <c r="J50" s="7">
        <f>(D50*D$62)+(E50*E$62)+(F50*F$62)+(G50*G$62)+(H50*H$62)+(I50*I$62)</f>
        <v>350</v>
      </c>
      <c r="K50" s="5">
        <v>150</v>
      </c>
      <c r="L50" s="23" t="s">
        <v>258</v>
      </c>
      <c r="M50" s="23" t="s">
        <v>258</v>
      </c>
      <c r="N50" s="23"/>
      <c r="O50" s="23"/>
      <c r="P50" s="6"/>
      <c r="Q50" s="6"/>
      <c r="R50" s="24">
        <f>SUM(K50:Q50)</f>
        <v>150</v>
      </c>
      <c r="T50" s="33">
        <f>(R50+J50)*2</f>
        <v>1000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38</v>
      </c>
      <c r="D51" s="20">
        <v>21</v>
      </c>
      <c r="E51" s="1"/>
      <c r="F51" s="1"/>
      <c r="G51" s="1"/>
      <c r="H51" s="1"/>
      <c r="I51" s="1"/>
      <c r="J51" s="19">
        <f>(D51*D$62)+(E51*E$62)+(F51*F$62)+(G51*G$62)+(H51*H$62)+(I51*I$62)</f>
        <v>105</v>
      </c>
      <c r="K51" s="43" t="s">
        <v>258</v>
      </c>
      <c r="L51" s="20" t="s">
        <v>258</v>
      </c>
      <c r="M51" s="20" t="s">
        <v>258</v>
      </c>
      <c r="N51" s="20"/>
      <c r="O51" s="20"/>
      <c r="P51" s="1"/>
      <c r="Q51" s="1"/>
      <c r="R51" s="17">
        <f>SUM(K51:Q51)</f>
        <v>0</v>
      </c>
      <c r="T51" s="14">
        <f>R51+J51</f>
        <v>105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265</v>
      </c>
      <c r="D52" s="20"/>
      <c r="E52" s="1"/>
      <c r="F52" s="1"/>
      <c r="G52" s="1"/>
      <c r="H52" s="1"/>
      <c r="I52" s="1"/>
      <c r="J52" s="19">
        <f>(D52*D$62)+(E52*E$62)+(F52*F$62)+(G52*G$62)+(H52*H$62)+(I52*I$62)</f>
        <v>0</v>
      </c>
      <c r="K52" s="43" t="s">
        <v>258</v>
      </c>
      <c r="L52" s="20" t="s">
        <v>258</v>
      </c>
      <c r="M52" s="20" t="s">
        <v>258</v>
      </c>
      <c r="N52" s="20"/>
      <c r="O52" s="20"/>
      <c r="P52" s="1"/>
      <c r="Q52" s="1"/>
      <c r="R52" s="17">
        <f>SUM(K52:Q52)</f>
        <v>0</v>
      </c>
      <c r="T52" s="14">
        <f>R52+J52</f>
        <v>0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117</v>
      </c>
      <c r="D53" s="20"/>
      <c r="E53" s="1">
        <v>2</v>
      </c>
      <c r="F53" s="1"/>
      <c r="G53" s="1"/>
      <c r="H53" s="1">
        <v>1</v>
      </c>
      <c r="I53" s="1"/>
      <c r="J53" s="19">
        <f>(D53*D$62)+(E53*E$62)+(F53*F$62)+(G53*G$62)+(H53*H$62)+(I53*I$62)</f>
        <v>250</v>
      </c>
      <c r="K53" s="43" t="s">
        <v>258</v>
      </c>
      <c r="L53" s="20">
        <v>50</v>
      </c>
      <c r="M53" s="20" t="s">
        <v>258</v>
      </c>
      <c r="N53" s="20"/>
      <c r="O53" s="20"/>
      <c r="P53" s="1"/>
      <c r="Q53" s="1"/>
      <c r="R53" s="17">
        <f>SUM(K53:Q53)</f>
        <v>50</v>
      </c>
      <c r="T53" s="14">
        <f>R53+J53</f>
        <v>300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266</v>
      </c>
      <c r="D54" s="12"/>
      <c r="E54" s="10"/>
      <c r="F54" s="10"/>
      <c r="G54" s="10"/>
      <c r="H54" s="10"/>
      <c r="I54" s="10"/>
      <c r="J54" s="11">
        <f>(D54*D$62)+(E54*E$62)+(F54*F$62)+(G54*G$62)+(H54*H$62)+(I54*I$62)</f>
        <v>0</v>
      </c>
      <c r="K54" s="9" t="s">
        <v>258</v>
      </c>
      <c r="L54" s="12" t="s">
        <v>258</v>
      </c>
      <c r="M54" s="12" t="s">
        <v>258</v>
      </c>
      <c r="N54" s="12"/>
      <c r="O54" s="12"/>
      <c r="P54" s="10"/>
      <c r="Q54" s="10"/>
      <c r="R54" s="13">
        <f>SUM(K54:Q54)</f>
        <v>0</v>
      </c>
      <c r="T54" s="34">
        <f>R54+J54</f>
        <v>0</v>
      </c>
      <c r="V54" s="28"/>
      <c r="W54" s="29"/>
      <c r="X54" s="28"/>
      <c r="Y54" s="28"/>
      <c r="Z54" s="28"/>
      <c r="AA54" s="28"/>
    </row>
    <row r="55" spans="2:27" ht="15" thickBot="1" x14ac:dyDescent="0.35">
      <c r="T55" s="37">
        <f>SUM(T50:T54)</f>
        <v>1405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1930</v>
      </c>
      <c r="Y63" s="42">
        <f>SUM(Y64:Y71)</f>
        <v>7810</v>
      </c>
      <c r="Z63" s="42">
        <f>SUM(Z64:Z71)</f>
        <v>-5990</v>
      </c>
      <c r="AA63" s="42">
        <f>SUM(AA64:AA71)</f>
        <v>-3750</v>
      </c>
    </row>
    <row r="64" spans="2:27" x14ac:dyDescent="0.3">
      <c r="B64" s="66" t="s">
        <v>211</v>
      </c>
      <c r="C64" s="38" t="s">
        <v>60</v>
      </c>
      <c r="D64" s="5">
        <v>66</v>
      </c>
      <c r="E64" s="6"/>
      <c r="F64" s="6"/>
      <c r="G64" s="6"/>
      <c r="H64" s="6">
        <v>1</v>
      </c>
      <c r="I64" s="6"/>
      <c r="J64" s="7">
        <f>(D64*D$62)+(E64*E$62)+(F64*F$62)+(G64*G$62)+(H64*H$62)+(I64*I$62)</f>
        <v>380</v>
      </c>
      <c r="K64" s="15">
        <v>150</v>
      </c>
      <c r="L64" s="15" t="s">
        <v>258</v>
      </c>
      <c r="M64" s="15" t="s">
        <v>258</v>
      </c>
      <c r="N64" s="15"/>
      <c r="O64" s="15"/>
      <c r="P64" s="16"/>
      <c r="Q64" s="16"/>
      <c r="R64" s="17">
        <f>SUM(K64:Q64)</f>
        <v>150</v>
      </c>
      <c r="T64" s="14">
        <f>(R64+J64)*2</f>
        <v>1060</v>
      </c>
      <c r="V64" s="28">
        <v>1</v>
      </c>
      <c r="W64" s="29">
        <v>45758</v>
      </c>
      <c r="X64" s="28">
        <v>4670</v>
      </c>
      <c r="Y64" s="28">
        <v>-1680</v>
      </c>
      <c r="Z64" s="28">
        <v>-1540</v>
      </c>
      <c r="AA64" s="28">
        <v>-1450</v>
      </c>
    </row>
    <row r="65" spans="2:27" x14ac:dyDescent="0.3">
      <c r="B65" s="67"/>
      <c r="C65" s="4" t="s">
        <v>136</v>
      </c>
      <c r="D65" s="18">
        <v>36</v>
      </c>
      <c r="E65" s="1"/>
      <c r="F65" s="1"/>
      <c r="G65" s="1"/>
      <c r="H65" s="1"/>
      <c r="I65" s="1"/>
      <c r="J65" s="19">
        <f>(D65*D$62)+(E65*E$62)+(F65*F$62)+(G65*G$62)+(H65*H$62)+(I65*I$62)</f>
        <v>180</v>
      </c>
      <c r="K65" s="15">
        <v>50</v>
      </c>
      <c r="L65" s="20" t="s">
        <v>258</v>
      </c>
      <c r="M65" s="20" t="s">
        <v>258</v>
      </c>
      <c r="N65" s="20"/>
      <c r="O65" s="20"/>
      <c r="P65" s="1"/>
      <c r="Q65" s="1"/>
      <c r="R65" s="17">
        <f>SUM(K65:Q65)</f>
        <v>50</v>
      </c>
      <c r="T65" s="14">
        <f>R65+J65</f>
        <v>230</v>
      </c>
      <c r="V65" s="28">
        <v>2</v>
      </c>
      <c r="W65" s="29">
        <v>45759</v>
      </c>
      <c r="X65" s="45">
        <v>-665</v>
      </c>
      <c r="Y65" s="45">
        <v>2850</v>
      </c>
      <c r="Z65" s="45">
        <v>-1475</v>
      </c>
      <c r="AA65" s="45">
        <v>-710</v>
      </c>
    </row>
    <row r="66" spans="2:27" x14ac:dyDescent="0.3">
      <c r="B66" s="67"/>
      <c r="C66" s="4" t="s">
        <v>249</v>
      </c>
      <c r="D66" s="18">
        <v>3</v>
      </c>
      <c r="E66" s="1"/>
      <c r="F66" s="1"/>
      <c r="G66" s="1"/>
      <c r="H66" s="1">
        <v>1</v>
      </c>
      <c r="I66" s="1"/>
      <c r="J66" s="19">
        <f>(D66*D$62)+(E66*E$62)+(F66*F$62)+(G66*G$62)+(H66*H$62)+(I66*I$62)</f>
        <v>65</v>
      </c>
      <c r="K66" s="15" t="s">
        <v>258</v>
      </c>
      <c r="L66" s="20" t="s">
        <v>258</v>
      </c>
      <c r="M66" s="20" t="s">
        <v>258</v>
      </c>
      <c r="N66" s="20"/>
      <c r="O66" s="20"/>
      <c r="P66" s="1"/>
      <c r="Q66" s="1"/>
      <c r="R66" s="17">
        <f>SUM(K66:Q66)</f>
        <v>0</v>
      </c>
      <c r="T66" s="14">
        <f>R66+J66</f>
        <v>65</v>
      </c>
      <c r="V66" s="28">
        <v>3</v>
      </c>
      <c r="W66" s="44">
        <v>45759</v>
      </c>
      <c r="X66" s="28">
        <v>-2075</v>
      </c>
      <c r="Y66" s="28">
        <v>6640</v>
      </c>
      <c r="Z66" s="28">
        <v>-2975</v>
      </c>
      <c r="AA66" s="28">
        <v>-1590</v>
      </c>
    </row>
    <row r="67" spans="2:27" x14ac:dyDescent="0.3">
      <c r="B67" s="67"/>
      <c r="C67" s="4" t="s">
        <v>3</v>
      </c>
      <c r="D67" s="18"/>
      <c r="E67" s="1"/>
      <c r="F67" s="1"/>
      <c r="G67" s="1"/>
      <c r="H67" s="1"/>
      <c r="I67" s="1"/>
      <c r="J67" s="19">
        <f>(D67*D$62)+(E67*E$62)+(F67*F$62)+(G67*G$62)+(H67*H$62)+(I67*I$62)</f>
        <v>0</v>
      </c>
      <c r="K67" s="15" t="s">
        <v>258</v>
      </c>
      <c r="L67" s="20" t="s">
        <v>258</v>
      </c>
      <c r="M67" s="20" t="s">
        <v>258</v>
      </c>
      <c r="N67" s="20"/>
      <c r="O67" s="20"/>
      <c r="P67" s="1"/>
      <c r="Q67" s="1"/>
      <c r="R67" s="17">
        <f>SUM(K67:Q67)</f>
        <v>0</v>
      </c>
      <c r="T67" s="14">
        <f>R67+J67</f>
        <v>0</v>
      </c>
      <c r="V67" s="28">
        <v>4</v>
      </c>
      <c r="W67" s="44"/>
      <c r="X67" s="28"/>
      <c r="Y67" s="28"/>
      <c r="Z67" s="28"/>
      <c r="AA67" s="28"/>
    </row>
    <row r="68" spans="2:27" ht="15" thickBot="1" x14ac:dyDescent="0.35">
      <c r="B68" s="68"/>
      <c r="C68" s="21" t="s">
        <v>208</v>
      </c>
      <c r="D68" s="9"/>
      <c r="E68" s="10"/>
      <c r="F68" s="10"/>
      <c r="G68" s="10"/>
      <c r="H68" s="10"/>
      <c r="I68" s="10"/>
      <c r="J68" s="11">
        <f>(D68*D$62)+(E68*E$62)+(F68*F$62)+(G68*G$62)+(H68*H$62)+(I68*I$62)</f>
        <v>0</v>
      </c>
      <c r="K68" s="12" t="s">
        <v>258</v>
      </c>
      <c r="L68" s="12" t="s">
        <v>258</v>
      </c>
      <c r="M68" s="12" t="s">
        <v>258</v>
      </c>
      <c r="N68" s="12"/>
      <c r="O68" s="12"/>
      <c r="P68" s="10"/>
      <c r="Q68" s="10"/>
      <c r="R68" s="13">
        <f>SUM(K68:Q68)</f>
        <v>0</v>
      </c>
      <c r="T68" s="22">
        <f>(R68+J68)</f>
        <v>0</v>
      </c>
      <c r="V68" s="28">
        <v>5</v>
      </c>
      <c r="W68" s="29"/>
      <c r="X68" s="28"/>
      <c r="Y68" s="28"/>
      <c r="Z68" s="28"/>
      <c r="AA68" s="28"/>
    </row>
    <row r="69" spans="2:27" ht="15" thickBot="1" x14ac:dyDescent="0.35">
      <c r="T69" s="37">
        <f>SUM(T64:T68)</f>
        <v>1355</v>
      </c>
      <c r="V69" s="28">
        <v>6</v>
      </c>
      <c r="W69" s="29"/>
      <c r="X69" s="28"/>
      <c r="Y69" s="28"/>
      <c r="Z69" s="28"/>
      <c r="AA69" s="28"/>
    </row>
    <row r="70" spans="2:27" x14ac:dyDescent="0.3">
      <c r="B70" s="66" t="s">
        <v>96</v>
      </c>
      <c r="C70" s="39" t="s">
        <v>147</v>
      </c>
      <c r="D70" s="23">
        <v>141</v>
      </c>
      <c r="E70" s="6"/>
      <c r="F70" s="6"/>
      <c r="G70" s="6"/>
      <c r="H70" s="6"/>
      <c r="I70" s="6"/>
      <c r="J70" s="7">
        <f>(D70*D$62)+(E70*E$62)+(F70*F$62)+(G70*G$62)+(H70*H$62)+(I70*I$62)</f>
        <v>705</v>
      </c>
      <c r="K70" s="5">
        <v>250</v>
      </c>
      <c r="L70" s="23" t="s">
        <v>258</v>
      </c>
      <c r="M70" s="23" t="s">
        <v>258</v>
      </c>
      <c r="N70" s="23"/>
      <c r="O70" s="23">
        <v>300</v>
      </c>
      <c r="P70" s="6"/>
      <c r="Q70" s="6"/>
      <c r="R70" s="24">
        <f>SUM(K70:Q70)</f>
        <v>550</v>
      </c>
      <c r="T70" s="33">
        <f>(R70+J70)*2</f>
        <v>2510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 t="s">
        <v>126</v>
      </c>
      <c r="D71" s="20">
        <v>34</v>
      </c>
      <c r="E71" s="1"/>
      <c r="F71" s="1"/>
      <c r="G71" s="1"/>
      <c r="H71" s="1"/>
      <c r="I71" s="1"/>
      <c r="J71" s="19">
        <f>(D71*D$62)+(E71*E$62)+(F71*F$62)+(G71*G$62)+(H71*H$62)+(I71*I$62)</f>
        <v>170</v>
      </c>
      <c r="K71" s="43">
        <v>50</v>
      </c>
      <c r="L71" s="20" t="s">
        <v>258</v>
      </c>
      <c r="M71" s="20" t="s">
        <v>258</v>
      </c>
      <c r="N71" s="20"/>
      <c r="O71" s="20"/>
      <c r="P71" s="1">
        <v>100</v>
      </c>
      <c r="Q71" s="1"/>
      <c r="R71" s="17">
        <f>SUM(K71:Q71)</f>
        <v>150</v>
      </c>
      <c r="T71" s="14">
        <f>R71+J71</f>
        <v>320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 t="s">
        <v>105</v>
      </c>
      <c r="D72" s="20"/>
      <c r="E72" s="1"/>
      <c r="F72" s="1"/>
      <c r="G72" s="1"/>
      <c r="H72" s="1">
        <v>1</v>
      </c>
      <c r="I72" s="1"/>
      <c r="J72" s="19">
        <f>(D72*D$62)+(E72*E$62)+(F72*F$62)+(G72*G$62)+(H72*H$62)+(I72*I$62)</f>
        <v>50</v>
      </c>
      <c r="K72" s="43" t="s">
        <v>258</v>
      </c>
      <c r="L72" s="20" t="s">
        <v>258</v>
      </c>
      <c r="M72" s="20" t="s">
        <v>258</v>
      </c>
      <c r="N72" s="20"/>
      <c r="O72" s="20"/>
      <c r="P72" s="1"/>
      <c r="Q72" s="1"/>
      <c r="R72" s="17">
        <f>SUM(K72:Q72)</f>
        <v>0</v>
      </c>
      <c r="T72" s="14">
        <f>R72+J72</f>
        <v>50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 t="s">
        <v>191</v>
      </c>
      <c r="D73" s="20"/>
      <c r="E73" s="1"/>
      <c r="F73" s="1"/>
      <c r="G73" s="1"/>
      <c r="H73" s="1"/>
      <c r="I73" s="1"/>
      <c r="J73" s="19">
        <f>(D73*D$62)+(E73*E$62)+(F73*F$62)+(G73*G$62)+(H73*H$62)+(I73*I$62)</f>
        <v>0</v>
      </c>
      <c r="K73" s="43" t="s">
        <v>258</v>
      </c>
      <c r="L73" s="20" t="s">
        <v>258</v>
      </c>
      <c r="M73" s="20" t="s">
        <v>258</v>
      </c>
      <c r="N73" s="20"/>
      <c r="O73" s="20"/>
      <c r="P73" s="1"/>
      <c r="Q73" s="1"/>
      <c r="R73" s="17">
        <f>SUM(K73:Q73)</f>
        <v>0</v>
      </c>
      <c r="T73" s="14">
        <f>R73+J73</f>
        <v>0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 t="s">
        <v>267</v>
      </c>
      <c r="D74" s="12"/>
      <c r="E74" s="10">
        <v>4</v>
      </c>
      <c r="F74" s="10"/>
      <c r="G74" s="10"/>
      <c r="H74" s="10"/>
      <c r="I74" s="10"/>
      <c r="J74" s="11">
        <f>(D74*D$62)+(E74*E$62)+(F74*F$62)+(G74*G$62)+(H74*H$62)+(I74*I$62)</f>
        <v>400</v>
      </c>
      <c r="K74" s="9" t="s">
        <v>258</v>
      </c>
      <c r="L74" s="12">
        <v>150</v>
      </c>
      <c r="M74" s="12" t="s">
        <v>258</v>
      </c>
      <c r="N74" s="12"/>
      <c r="O74" s="12"/>
      <c r="P74" s="10"/>
      <c r="Q74" s="10"/>
      <c r="R74" s="13">
        <f>SUM(K74:Q74)</f>
        <v>150</v>
      </c>
      <c r="T74" s="34">
        <f>R74+J74</f>
        <v>550</v>
      </c>
      <c r="V74" s="28"/>
      <c r="W74" s="29"/>
      <c r="X74" s="28"/>
      <c r="Y74" s="28"/>
      <c r="Z74" s="28"/>
      <c r="AA74" s="28"/>
    </row>
    <row r="75" spans="2:27" ht="15" thickBot="1" x14ac:dyDescent="0.35">
      <c r="T75" s="37">
        <f>SUM(T70:T74)</f>
        <v>3430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 t="s">
        <v>56</v>
      </c>
      <c r="D76" s="23">
        <v>9</v>
      </c>
      <c r="E76" s="6"/>
      <c r="F76" s="6"/>
      <c r="G76" s="6"/>
      <c r="H76" s="6"/>
      <c r="I76" s="6"/>
      <c r="J76" s="7">
        <f>(D76*D$62)+(E76*E$62)+(F76*F$62)+(G76*G$62)+(H76*H$62)+(I76*I$62)</f>
        <v>45</v>
      </c>
      <c r="K76" s="5" t="s">
        <v>258</v>
      </c>
      <c r="L76" s="23" t="s">
        <v>258</v>
      </c>
      <c r="M76" s="23" t="s">
        <v>258</v>
      </c>
      <c r="N76" s="23"/>
      <c r="O76" s="23"/>
      <c r="P76" s="6"/>
      <c r="Q76" s="6"/>
      <c r="R76" s="24">
        <f>SUM(K76:Q76)</f>
        <v>0</v>
      </c>
      <c r="T76" s="33">
        <f>(R76+J76)*2</f>
        <v>90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268</v>
      </c>
      <c r="D77" s="20">
        <v>21</v>
      </c>
      <c r="E77" s="1"/>
      <c r="F77" s="1"/>
      <c r="G77" s="1"/>
      <c r="H77" s="1"/>
      <c r="I77" s="1"/>
      <c r="J77" s="19">
        <f>(D77*D$62)+(E77*E$62)+(F77*F$62)+(G77*G$62)+(H77*H$62)+(I77*I$62)</f>
        <v>105</v>
      </c>
      <c r="K77" s="43" t="s">
        <v>258</v>
      </c>
      <c r="L77" s="20" t="s">
        <v>258</v>
      </c>
      <c r="M77" s="20" t="s">
        <v>258</v>
      </c>
      <c r="N77" s="20"/>
      <c r="O77" s="20"/>
      <c r="P77" s="1"/>
      <c r="Q77" s="1"/>
      <c r="R77" s="17">
        <f>SUM(K77:Q77)</f>
        <v>0</v>
      </c>
      <c r="T77" s="14">
        <f>R77+J77</f>
        <v>105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 t="s">
        <v>225</v>
      </c>
      <c r="D78" s="20">
        <v>27</v>
      </c>
      <c r="E78" s="1"/>
      <c r="F78" s="1"/>
      <c r="G78" s="1"/>
      <c r="H78" s="1"/>
      <c r="I78" s="1"/>
      <c r="J78" s="19">
        <f>(D78*D$62)+(E78*E$62)+(F78*F$62)+(G78*G$62)+(H78*H$62)+(I78*I$62)</f>
        <v>135</v>
      </c>
      <c r="K78" s="43" t="s">
        <v>258</v>
      </c>
      <c r="L78" s="20" t="s">
        <v>258</v>
      </c>
      <c r="M78" s="20" t="s">
        <v>258</v>
      </c>
      <c r="N78" s="20"/>
      <c r="O78" s="20"/>
      <c r="P78" s="1"/>
      <c r="Q78" s="1"/>
      <c r="R78" s="17">
        <f>SUM(K78:Q78)</f>
        <v>0</v>
      </c>
      <c r="T78" s="14">
        <f>R78+J78</f>
        <v>135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 t="s">
        <v>250</v>
      </c>
      <c r="D79" s="20">
        <v>5</v>
      </c>
      <c r="E79" s="1"/>
      <c r="F79" s="1"/>
      <c r="G79" s="1"/>
      <c r="H79" s="1"/>
      <c r="I79" s="1"/>
      <c r="J79" s="19">
        <f>(D79*D$62)+(E79*E$62)+(F79*F$62)+(G79*G$62)+(H79*H$62)+(I79*I$62)</f>
        <v>25</v>
      </c>
      <c r="K79" s="43" t="s">
        <v>258</v>
      </c>
      <c r="L79" s="20" t="s">
        <v>258</v>
      </c>
      <c r="M79" s="20" t="s">
        <v>258</v>
      </c>
      <c r="N79" s="20"/>
      <c r="O79" s="20"/>
      <c r="P79" s="1"/>
      <c r="Q79" s="1"/>
      <c r="R79" s="17">
        <f>SUM(K79:Q79)</f>
        <v>0</v>
      </c>
      <c r="T79" s="14">
        <f>R79+J79</f>
        <v>25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 t="s">
        <v>127</v>
      </c>
      <c r="D80" s="12"/>
      <c r="E80" s="10">
        <v>1</v>
      </c>
      <c r="F80" s="10"/>
      <c r="G80" s="10"/>
      <c r="H80" s="10"/>
      <c r="I80" s="10"/>
      <c r="J80" s="11">
        <f>(D80*D$62)+(E80*E$62)+(F80*F$62)+(G80*G$62)+(H80*H$62)+(I80*I$62)</f>
        <v>100</v>
      </c>
      <c r="K80" s="9" t="s">
        <v>258</v>
      </c>
      <c r="L80" s="12" t="s">
        <v>258</v>
      </c>
      <c r="M80" s="12" t="s">
        <v>258</v>
      </c>
      <c r="N80" s="12"/>
      <c r="O80" s="12"/>
      <c r="P80" s="10"/>
      <c r="Q80" s="10"/>
      <c r="R80" s="13">
        <f>SUM(K80:Q80)</f>
        <v>0</v>
      </c>
      <c r="T80" s="34">
        <f>R80+J80</f>
        <v>100</v>
      </c>
      <c r="V80" s="28"/>
      <c r="W80" s="29"/>
      <c r="X80" s="28"/>
      <c r="Y80" s="28"/>
      <c r="Z80" s="28"/>
      <c r="AA80" s="28"/>
    </row>
    <row r="81" spans="2:27" ht="15" thickBot="1" x14ac:dyDescent="0.35">
      <c r="T81" s="37">
        <f>SUM(T76:T80)</f>
        <v>455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 t="s">
        <v>269</v>
      </c>
      <c r="D82" s="23">
        <v>82</v>
      </c>
      <c r="E82" s="6"/>
      <c r="F82" s="6"/>
      <c r="G82" s="6"/>
      <c r="H82" s="6"/>
      <c r="I82" s="6"/>
      <c r="J82" s="7">
        <f>(D82*D$62)+(E82*E$62)+(F82*F$62)+(G82*G$62)+(H82*H$62)+(I82*I$62)</f>
        <v>410</v>
      </c>
      <c r="K82" s="5">
        <v>150</v>
      </c>
      <c r="L82" s="23" t="s">
        <v>258</v>
      </c>
      <c r="M82" s="23" t="s">
        <v>258</v>
      </c>
      <c r="N82" s="23"/>
      <c r="O82" s="23">
        <v>150</v>
      </c>
      <c r="P82" s="6"/>
      <c r="Q82" s="6"/>
      <c r="R82" s="24">
        <f>SUM(K82:Q82)</f>
        <v>300</v>
      </c>
      <c r="T82" s="33">
        <f>(R82+J82)*2</f>
        <v>1420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134</v>
      </c>
      <c r="D83" s="20">
        <v>42</v>
      </c>
      <c r="E83" s="1"/>
      <c r="F83" s="1"/>
      <c r="G83" s="1"/>
      <c r="H83" s="1"/>
      <c r="I83" s="1"/>
      <c r="J83" s="19">
        <f>(D83*D$62)+(E83*E$62)+(F83*F$62)+(G83*G$62)+(H83*H$62)+(I83*I$62)</f>
        <v>210</v>
      </c>
      <c r="K83" s="43">
        <v>50</v>
      </c>
      <c r="L83" s="20" t="s">
        <v>258</v>
      </c>
      <c r="M83" s="20" t="s">
        <v>258</v>
      </c>
      <c r="N83" s="20"/>
      <c r="O83" s="20"/>
      <c r="P83" s="1"/>
      <c r="Q83" s="1"/>
      <c r="R83" s="17">
        <f>SUM(K83:Q83)</f>
        <v>50</v>
      </c>
      <c r="T83" s="14">
        <f>R83+J83</f>
        <v>260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 t="s">
        <v>48</v>
      </c>
      <c r="D84" s="20"/>
      <c r="E84" s="1"/>
      <c r="F84" s="1"/>
      <c r="G84" s="1"/>
      <c r="H84" s="1">
        <v>1</v>
      </c>
      <c r="I84" s="1"/>
      <c r="J84" s="19">
        <f>(D84*D$62)+(E84*E$62)+(F84*F$62)+(G84*G$62)+(H84*H$62)+(I84*I$62)</f>
        <v>50</v>
      </c>
      <c r="K84" s="43" t="s">
        <v>258</v>
      </c>
      <c r="L84" s="20" t="s">
        <v>258</v>
      </c>
      <c r="M84" s="20" t="s">
        <v>258</v>
      </c>
      <c r="N84" s="20"/>
      <c r="O84" s="20"/>
      <c r="P84" s="1"/>
      <c r="Q84" s="1"/>
      <c r="R84" s="17">
        <f>SUM(K84:Q84)</f>
        <v>0</v>
      </c>
      <c r="T84" s="14">
        <f>R84+J84</f>
        <v>50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 t="s">
        <v>131</v>
      </c>
      <c r="D85" s="20"/>
      <c r="E85" s="1">
        <v>1</v>
      </c>
      <c r="F85" s="1"/>
      <c r="G85" s="1"/>
      <c r="H85" s="1"/>
      <c r="I85" s="1"/>
      <c r="J85" s="19">
        <f>(D85*D$62)+(E85*E$62)+(F85*F$62)+(G85*G$62)+(H85*H$62)+(I85*I$62)</f>
        <v>100</v>
      </c>
      <c r="K85" s="43" t="s">
        <v>258</v>
      </c>
      <c r="L85" s="20" t="s">
        <v>258</v>
      </c>
      <c r="M85" s="20" t="s">
        <v>258</v>
      </c>
      <c r="N85" s="20"/>
      <c r="O85" s="20"/>
      <c r="P85" s="1"/>
      <c r="Q85" s="1"/>
      <c r="R85" s="17">
        <f>SUM(K85:Q85)</f>
        <v>0</v>
      </c>
      <c r="T85" s="14">
        <f>R85+J85</f>
        <v>100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 t="s">
        <v>124</v>
      </c>
      <c r="D86" s="12">
        <v>2</v>
      </c>
      <c r="E86" s="10"/>
      <c r="F86" s="10"/>
      <c r="G86" s="10"/>
      <c r="H86" s="10"/>
      <c r="I86" s="10"/>
      <c r="J86" s="11">
        <f>(D86*D$62)+(E86*E$62)+(F86*F$62)+(G86*G$62)+(H86*H$62)+(I86*I$62)</f>
        <v>10</v>
      </c>
      <c r="K86" s="9" t="s">
        <v>258</v>
      </c>
      <c r="L86" s="12" t="s">
        <v>258</v>
      </c>
      <c r="M86" s="12" t="s">
        <v>258</v>
      </c>
      <c r="N86" s="12"/>
      <c r="O86" s="12"/>
      <c r="P86" s="10"/>
      <c r="Q86" s="10"/>
      <c r="R86" s="13">
        <f>SUM(K86:Q86)</f>
        <v>0</v>
      </c>
      <c r="T86" s="34">
        <f>R86+J86</f>
        <v>10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1840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AK87"/>
  <sheetViews>
    <sheetView topLeftCell="A61" zoomScale="90" zoomScaleNormal="90" workbookViewId="0">
      <selection activeCell="S90" sqref="S90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7" width="8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F3" s="47"/>
      <c r="AG3" s="47" t="s">
        <v>211</v>
      </c>
      <c r="AH3" s="48" t="s">
        <v>96</v>
      </c>
      <c r="AI3" s="48" t="s">
        <v>97</v>
      </c>
      <c r="AJ3" s="48" t="s">
        <v>98</v>
      </c>
      <c r="AK3" s="46"/>
    </row>
    <row r="4" spans="2:37" x14ac:dyDescent="0.3">
      <c r="AE4" s="46"/>
      <c r="AF4" s="49" t="s">
        <v>165</v>
      </c>
      <c r="AG4" s="49">
        <v>-4745</v>
      </c>
      <c r="AH4" s="49">
        <v>2405</v>
      </c>
      <c r="AI4" s="49">
        <v>10275</v>
      </c>
      <c r="AJ4" s="49">
        <v>-7935</v>
      </c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F5" s="49" t="s">
        <v>210</v>
      </c>
      <c r="AG5" s="49">
        <v>-5315</v>
      </c>
      <c r="AH5" s="49">
        <v>-3535</v>
      </c>
      <c r="AI5" s="49">
        <v>5950</v>
      </c>
      <c r="AJ5" s="49">
        <v>2900</v>
      </c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F6" s="49" t="s">
        <v>236</v>
      </c>
      <c r="AG6" s="49">
        <f>X31</f>
        <v>1595</v>
      </c>
      <c r="AH6" s="49">
        <f>Y31</f>
        <v>10245</v>
      </c>
      <c r="AI6" s="49">
        <f>Z31</f>
        <v>-7565</v>
      </c>
      <c r="AJ6" s="49">
        <f>AA31</f>
        <v>-4275</v>
      </c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F7" s="46"/>
      <c r="AG7" s="46"/>
      <c r="AH7" s="46"/>
      <c r="AI7" s="46"/>
      <c r="AJ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F8" s="46"/>
      <c r="AG8" s="46"/>
      <c r="AH8" s="46"/>
      <c r="AI8" s="46"/>
      <c r="AJ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36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36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36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  <c r="AF30" s="49" t="s">
        <v>0</v>
      </c>
      <c r="AG30" s="49">
        <f>SUM(AG4:AG29)</f>
        <v>-8465</v>
      </c>
      <c r="AH30" s="49">
        <f t="shared" ref="AH30:AJ30" si="0">SUM(AH4:AH29)</f>
        <v>9115</v>
      </c>
      <c r="AI30" s="49">
        <f t="shared" si="0"/>
        <v>8660</v>
      </c>
      <c r="AJ30" s="49">
        <f t="shared" si="0"/>
        <v>-9310</v>
      </c>
    </row>
    <row r="31" spans="2:36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1595</v>
      </c>
      <c r="Y31" s="42">
        <f>SUM(Y32:Y39)</f>
        <v>10245</v>
      </c>
      <c r="Z31" s="42">
        <f>SUM(Z32:Z39)</f>
        <v>-7565</v>
      </c>
      <c r="AA31" s="42">
        <f>SUM(AA32:AA39)</f>
        <v>-4275</v>
      </c>
    </row>
    <row r="32" spans="2:36" x14ac:dyDescent="0.3">
      <c r="B32" s="66" t="s">
        <v>211</v>
      </c>
      <c r="C32" s="38" t="s">
        <v>19</v>
      </c>
      <c r="D32" s="5">
        <v>62</v>
      </c>
      <c r="E32" s="6"/>
      <c r="F32" s="6"/>
      <c r="G32" s="6"/>
      <c r="H32" s="6">
        <v>1</v>
      </c>
      <c r="I32" s="6"/>
      <c r="J32" s="7">
        <f>(D32*D$62)+(E32*E$62)+(F32*F$62)+(G32*G$62)+(H32*H$62)+(I32*I$62)</f>
        <v>360</v>
      </c>
      <c r="K32" s="15">
        <v>150</v>
      </c>
      <c r="L32" s="15" t="s">
        <v>258</v>
      </c>
      <c r="M32" s="15" t="s">
        <v>258</v>
      </c>
      <c r="N32" s="15"/>
      <c r="O32" s="15"/>
      <c r="P32" s="16"/>
      <c r="Q32" s="16"/>
      <c r="R32" s="17">
        <f>SUM(K32:Q32)</f>
        <v>150</v>
      </c>
      <c r="T32" s="14">
        <f>(R32+J32)*2</f>
        <v>1020</v>
      </c>
      <c r="V32" s="28">
        <v>1</v>
      </c>
      <c r="W32" s="29">
        <v>45758</v>
      </c>
      <c r="X32" s="28">
        <v>4670</v>
      </c>
      <c r="Y32" s="28">
        <v>-1680</v>
      </c>
      <c r="Z32" s="28">
        <v>-1540</v>
      </c>
      <c r="AA32" s="28">
        <v>-1450</v>
      </c>
    </row>
    <row r="33" spans="2:32" x14ac:dyDescent="0.3">
      <c r="B33" s="67"/>
      <c r="C33" s="4" t="s">
        <v>78</v>
      </c>
      <c r="D33" s="18">
        <v>4</v>
      </c>
      <c r="E33" s="1"/>
      <c r="F33" s="1"/>
      <c r="G33" s="1"/>
      <c r="H33" s="1"/>
      <c r="I33" s="1"/>
      <c r="J33" s="19">
        <f>(D33*D$62)+(E33*E$62)+(F33*F$62)+(G33*G$62)+(H33*H$62)+(I33*I$62)</f>
        <v>20</v>
      </c>
      <c r="K33" s="20" t="s">
        <v>258</v>
      </c>
      <c r="L33" s="20" t="s">
        <v>258</v>
      </c>
      <c r="M33" s="20" t="s">
        <v>258</v>
      </c>
      <c r="N33" s="20"/>
      <c r="O33" s="20"/>
      <c r="P33" s="1"/>
      <c r="Q33" s="1"/>
      <c r="R33" s="17">
        <f>SUM(K33:Q33)</f>
        <v>0</v>
      </c>
      <c r="T33" s="14">
        <f>R33+J33</f>
        <v>20</v>
      </c>
      <c r="V33" s="28">
        <v>2</v>
      </c>
      <c r="W33" s="29">
        <v>45759</v>
      </c>
      <c r="X33" s="45">
        <v>-665</v>
      </c>
      <c r="Y33" s="45">
        <v>2850</v>
      </c>
      <c r="Z33" s="45">
        <v>-1475</v>
      </c>
      <c r="AA33" s="45">
        <v>-710</v>
      </c>
    </row>
    <row r="34" spans="2:32" x14ac:dyDescent="0.3">
      <c r="B34" s="67"/>
      <c r="C34" s="4" t="s">
        <v>100</v>
      </c>
      <c r="D34" s="18"/>
      <c r="E34" s="1">
        <v>1</v>
      </c>
      <c r="F34" s="1"/>
      <c r="G34" s="1"/>
      <c r="H34" s="1"/>
      <c r="I34" s="1"/>
      <c r="J34" s="19">
        <f>(D34*D$62)+(E34*E$62)+(F34*F$62)+(G34*G$62)+(H34*H$62)+(I34*I$62)</f>
        <v>100</v>
      </c>
      <c r="K34" s="20" t="s">
        <v>258</v>
      </c>
      <c r="L34" s="20" t="s">
        <v>258</v>
      </c>
      <c r="M34" s="20" t="s">
        <v>258</v>
      </c>
      <c r="N34" s="20"/>
      <c r="O34" s="20"/>
      <c r="P34" s="1"/>
      <c r="Q34" s="1"/>
      <c r="R34" s="17">
        <f>SUM(K34:Q34)</f>
        <v>0</v>
      </c>
      <c r="T34" s="14">
        <f>R34+J34</f>
        <v>100</v>
      </c>
      <c r="V34" s="28">
        <v>3</v>
      </c>
      <c r="W34" s="44">
        <v>45759</v>
      </c>
      <c r="X34" s="28">
        <v>-2075</v>
      </c>
      <c r="Y34" s="28">
        <v>6640</v>
      </c>
      <c r="Z34" s="28">
        <v>-2975</v>
      </c>
      <c r="AA34" s="28">
        <v>-1590</v>
      </c>
    </row>
    <row r="35" spans="2:32" x14ac:dyDescent="0.3">
      <c r="B35" s="67"/>
      <c r="C35" s="4" t="s">
        <v>160</v>
      </c>
      <c r="D35" s="18">
        <v>40</v>
      </c>
      <c r="E35" s="1"/>
      <c r="F35" s="1"/>
      <c r="G35" s="1"/>
      <c r="H35" s="1">
        <v>1</v>
      </c>
      <c r="I35" s="1"/>
      <c r="J35" s="19">
        <f>(D35*D$62)+(E35*E$62)+(F35*F$62)+(G35*G$62)+(H35*H$62)+(I35*I$62)</f>
        <v>250</v>
      </c>
      <c r="K35" s="20">
        <v>50</v>
      </c>
      <c r="L35" s="20" t="s">
        <v>258</v>
      </c>
      <c r="M35" s="20" t="s">
        <v>258</v>
      </c>
      <c r="N35" s="20"/>
      <c r="O35" s="20"/>
      <c r="P35" s="1"/>
      <c r="Q35" s="1"/>
      <c r="R35" s="17">
        <f>SUM(K35:Q35)</f>
        <v>50</v>
      </c>
      <c r="T35" s="14">
        <f>R35+J35</f>
        <v>300</v>
      </c>
      <c r="V35" s="28">
        <v>4</v>
      </c>
      <c r="W35" s="44">
        <v>45760</v>
      </c>
      <c r="X35" s="28">
        <v>-335</v>
      </c>
      <c r="Y35" s="28">
        <v>2435</v>
      </c>
      <c r="Z35" s="28">
        <v>-1575</v>
      </c>
      <c r="AA35" s="28">
        <v>-525</v>
      </c>
      <c r="AE35" s="50" t="s">
        <v>5</v>
      </c>
      <c r="AF35" s="50" t="s">
        <v>235</v>
      </c>
    </row>
    <row r="36" spans="2:32" ht="15" thickBot="1" x14ac:dyDescent="0.35">
      <c r="B36" s="68"/>
      <c r="C36" s="21" t="s">
        <v>146</v>
      </c>
      <c r="D36" s="9"/>
      <c r="E36" s="10"/>
      <c r="F36" s="10"/>
      <c r="G36" s="10"/>
      <c r="H36" s="10"/>
      <c r="I36" s="10"/>
      <c r="J36" s="11">
        <f>(D36*D$62)+(E36*E$62)+(F36*F$62)+(G36*G$62)+(H36*H$62)+(I36*I$62)</f>
        <v>0</v>
      </c>
      <c r="K36" s="12" t="s">
        <v>258</v>
      </c>
      <c r="L36" s="12" t="s">
        <v>258</v>
      </c>
      <c r="M36" s="12" t="s">
        <v>258</v>
      </c>
      <c r="N36" s="12"/>
      <c r="O36" s="12"/>
      <c r="P36" s="10"/>
      <c r="Q36" s="10"/>
      <c r="R36" s="13">
        <f>SUM(K36:Q36)</f>
        <v>0</v>
      </c>
      <c r="T36" s="22">
        <f>(R36+J36)</f>
        <v>0</v>
      </c>
      <c r="V36" s="28">
        <v>5</v>
      </c>
      <c r="W36" s="29"/>
      <c r="X36" s="28"/>
      <c r="Y36" s="28"/>
      <c r="Z36" s="28"/>
      <c r="AA36" s="28"/>
      <c r="AE36" s="28" t="s">
        <v>211</v>
      </c>
      <c r="AF36" s="28">
        <f>T37</f>
        <v>1440</v>
      </c>
    </row>
    <row r="37" spans="2:32" ht="15" thickBot="1" x14ac:dyDescent="0.35">
      <c r="T37" s="37">
        <f>SUM(T32:T36)</f>
        <v>1440</v>
      </c>
      <c r="V37" s="28">
        <v>6</v>
      </c>
      <c r="W37" s="29"/>
      <c r="X37" s="28"/>
      <c r="Y37" s="28"/>
      <c r="Z37" s="28"/>
      <c r="AA37" s="28"/>
      <c r="AE37" s="28" t="s">
        <v>96</v>
      </c>
      <c r="AF37" s="28">
        <f>T43</f>
        <v>1775</v>
      </c>
    </row>
    <row r="38" spans="2:32" x14ac:dyDescent="0.3">
      <c r="B38" s="66" t="s">
        <v>96</v>
      </c>
      <c r="C38" s="39" t="s">
        <v>46</v>
      </c>
      <c r="D38" s="23">
        <v>65</v>
      </c>
      <c r="E38" s="6"/>
      <c r="F38" s="6"/>
      <c r="G38" s="6"/>
      <c r="H38" s="6"/>
      <c r="I38" s="6"/>
      <c r="J38" s="7">
        <f>(D38*D$62)+(E38*E$62)+(F38*F$62)+(G38*G$62)+(H38*H$62)+(I38*I$62)</f>
        <v>325</v>
      </c>
      <c r="K38" s="23">
        <v>150</v>
      </c>
      <c r="L38" s="23" t="s">
        <v>258</v>
      </c>
      <c r="M38" s="23" t="s">
        <v>258</v>
      </c>
      <c r="N38" s="23"/>
      <c r="O38" s="23">
        <v>150</v>
      </c>
      <c r="P38" s="6"/>
      <c r="Q38" s="6"/>
      <c r="R38" s="24">
        <f>SUM(K38:Q38)</f>
        <v>300</v>
      </c>
      <c r="T38" s="33">
        <f>(R38+J38)*2</f>
        <v>1250</v>
      </c>
      <c r="V38" s="28">
        <v>7</v>
      </c>
      <c r="W38" s="29"/>
      <c r="X38" s="28"/>
      <c r="Y38" s="28"/>
      <c r="Z38" s="28"/>
      <c r="AA38" s="28"/>
      <c r="AE38" s="28" t="s">
        <v>97</v>
      </c>
      <c r="AF38" s="28">
        <f>T49</f>
        <v>200</v>
      </c>
    </row>
    <row r="39" spans="2:32" x14ac:dyDescent="0.3">
      <c r="B39" s="67"/>
      <c r="C39" s="19" t="s">
        <v>61</v>
      </c>
      <c r="D39" s="20">
        <v>30</v>
      </c>
      <c r="E39" s="1"/>
      <c r="F39" s="1"/>
      <c r="G39" s="1"/>
      <c r="H39" s="1"/>
      <c r="I39" s="1"/>
      <c r="J39" s="19">
        <f>(D39*D$62)+(E39*E$62)+(F39*F$62)+(G39*G$62)+(H39*H$62)+(I39*I$62)</f>
        <v>150</v>
      </c>
      <c r="K39" s="20">
        <v>50</v>
      </c>
      <c r="L39" s="20" t="s">
        <v>258</v>
      </c>
      <c r="M39" s="20" t="s">
        <v>258</v>
      </c>
      <c r="N39" s="20"/>
      <c r="O39" s="20"/>
      <c r="P39" s="1"/>
      <c r="Q39" s="1"/>
      <c r="R39" s="17">
        <f>SUM(K39:Q39)</f>
        <v>50</v>
      </c>
      <c r="T39" s="14">
        <f>R39+J39</f>
        <v>200</v>
      </c>
      <c r="V39" s="28">
        <v>8</v>
      </c>
      <c r="W39" s="29"/>
      <c r="X39" s="28"/>
      <c r="Y39" s="28"/>
      <c r="Z39" s="28"/>
      <c r="AA39" s="28"/>
      <c r="AE39" s="28" t="s">
        <v>98</v>
      </c>
      <c r="AF39" s="28">
        <f>T55</f>
        <v>1250</v>
      </c>
    </row>
    <row r="40" spans="2:32" x14ac:dyDescent="0.3">
      <c r="B40" s="67"/>
      <c r="C40" s="19" t="s">
        <v>109</v>
      </c>
      <c r="D40" s="20">
        <v>35</v>
      </c>
      <c r="E40" s="1"/>
      <c r="F40" s="1"/>
      <c r="G40" s="1"/>
      <c r="H40" s="1"/>
      <c r="I40" s="1"/>
      <c r="J40" s="19">
        <f>(D40*D$62)+(E40*E$62)+(F40*F$62)+(G40*G$62)+(H40*H$62)+(I40*I$62)</f>
        <v>175</v>
      </c>
      <c r="K40" s="20">
        <v>50</v>
      </c>
      <c r="L40" s="20" t="s">
        <v>258</v>
      </c>
      <c r="M40" s="20" t="s">
        <v>258</v>
      </c>
      <c r="N40" s="20"/>
      <c r="O40" s="20"/>
      <c r="P40" s="1"/>
      <c r="Q40" s="1"/>
      <c r="R40" s="17">
        <f>SUM(K40:Q40)</f>
        <v>50</v>
      </c>
      <c r="T40" s="14">
        <f>R40+J40</f>
        <v>225</v>
      </c>
      <c r="V40" s="28"/>
      <c r="W40" s="29"/>
      <c r="X40" s="28"/>
      <c r="Y40" s="28"/>
      <c r="Z40" s="28"/>
      <c r="AA40" s="28"/>
    </row>
    <row r="41" spans="2:32" x14ac:dyDescent="0.3">
      <c r="B41" s="67"/>
      <c r="C41" s="19" t="s">
        <v>80</v>
      </c>
      <c r="D41" s="20"/>
      <c r="E41" s="1"/>
      <c r="F41" s="1"/>
      <c r="G41" s="1"/>
      <c r="H41" s="1"/>
      <c r="I41" s="1"/>
      <c r="J41" s="19">
        <f>(D41*D$62)+(E41*E$62)+(F41*F$62)+(G41*G$62)+(H41*H$62)+(I41*I$62)</f>
        <v>0</v>
      </c>
      <c r="K41" s="20" t="s">
        <v>258</v>
      </c>
      <c r="L41" s="20" t="s">
        <v>258</v>
      </c>
      <c r="M41" s="20" t="s">
        <v>258</v>
      </c>
      <c r="N41" s="20"/>
      <c r="O41" s="20"/>
      <c r="P41" s="1"/>
      <c r="Q41" s="1"/>
      <c r="R41" s="17">
        <f>SUM(K41:Q41)</f>
        <v>0</v>
      </c>
      <c r="T41" s="14">
        <f>R41+J41</f>
        <v>0</v>
      </c>
      <c r="V41" s="28"/>
      <c r="W41" s="29"/>
      <c r="X41" s="28"/>
      <c r="Y41" s="28"/>
      <c r="Z41" s="28"/>
      <c r="AA41" s="28"/>
    </row>
    <row r="42" spans="2:32" ht="15" thickBot="1" x14ac:dyDescent="0.35">
      <c r="B42" s="68"/>
      <c r="C42" s="11" t="s">
        <v>241</v>
      </c>
      <c r="D42" s="12"/>
      <c r="E42" s="10">
        <v>1</v>
      </c>
      <c r="F42" s="10"/>
      <c r="G42" s="10"/>
      <c r="H42" s="10"/>
      <c r="I42" s="10"/>
      <c r="J42" s="11">
        <f>(D42*D$62)+(E42*E$62)+(F42*F$62)+(G42*G$62)+(H42*H$62)+(I42*I$62)</f>
        <v>100</v>
      </c>
      <c r="K42" s="12" t="s">
        <v>258</v>
      </c>
      <c r="L42" s="12" t="s">
        <v>258</v>
      </c>
      <c r="M42" s="12" t="s">
        <v>258</v>
      </c>
      <c r="N42" s="12"/>
      <c r="O42" s="12"/>
      <c r="P42" s="10"/>
      <c r="Q42" s="10"/>
      <c r="R42" s="13">
        <f>SUM(K42:Q42)</f>
        <v>0</v>
      </c>
      <c r="T42" s="34">
        <f>R42+J42</f>
        <v>100</v>
      </c>
      <c r="V42" s="28"/>
      <c r="W42" s="29"/>
      <c r="X42" s="28"/>
      <c r="Y42" s="28"/>
      <c r="Z42" s="28"/>
      <c r="AA42" s="28"/>
    </row>
    <row r="43" spans="2:32" ht="15" thickBot="1" x14ac:dyDescent="0.35">
      <c r="T43" s="37">
        <f>SUM(T38:T42)</f>
        <v>1775</v>
      </c>
      <c r="V43" s="28"/>
      <c r="W43" s="29"/>
      <c r="X43" s="28"/>
      <c r="Y43" s="28"/>
      <c r="Z43" s="28"/>
      <c r="AA43" s="28"/>
    </row>
    <row r="44" spans="2:32" x14ac:dyDescent="0.3">
      <c r="B44" s="66" t="s">
        <v>97</v>
      </c>
      <c r="C44" s="39" t="s">
        <v>52</v>
      </c>
      <c r="D44" s="23">
        <v>15</v>
      </c>
      <c r="E44" s="6"/>
      <c r="F44" s="6"/>
      <c r="G44" s="6"/>
      <c r="H44" s="6"/>
      <c r="I44" s="6"/>
      <c r="J44" s="7">
        <f>(D44*D$62)+(E44*E$62)+(F44*F$62)+(G44*G$62)+(H44*H$62)+(I44*I$62)</f>
        <v>75</v>
      </c>
      <c r="K44" s="23" t="s">
        <v>258</v>
      </c>
      <c r="L44" s="23" t="s">
        <v>258</v>
      </c>
      <c r="M44" s="23" t="s">
        <v>258</v>
      </c>
      <c r="N44" s="23"/>
      <c r="O44" s="23"/>
      <c r="P44" s="6"/>
      <c r="Q44" s="6"/>
      <c r="R44" s="24">
        <f>SUM(K44:Q44)</f>
        <v>0</v>
      </c>
      <c r="T44" s="33">
        <f>(R44+J44)*2</f>
        <v>150</v>
      </c>
      <c r="V44" s="28"/>
      <c r="W44" s="29"/>
      <c r="X44" s="28"/>
      <c r="Y44" s="28"/>
      <c r="Z44" s="28"/>
      <c r="AA44" s="28"/>
    </row>
    <row r="45" spans="2:32" x14ac:dyDescent="0.3">
      <c r="B45" s="67"/>
      <c r="C45" s="19" t="s">
        <v>35</v>
      </c>
      <c r="D45" s="20"/>
      <c r="E45" s="1"/>
      <c r="F45" s="1"/>
      <c r="G45" s="1"/>
      <c r="H45" s="1"/>
      <c r="I45" s="1"/>
      <c r="J45" s="19">
        <f>(D45*D$62)+(E45*E$62)+(F45*F$62)+(G45*G$62)+(H45*H$62)+(I45*I$62)</f>
        <v>0</v>
      </c>
      <c r="K45" s="20" t="s">
        <v>258</v>
      </c>
      <c r="L45" s="20" t="s">
        <v>258</v>
      </c>
      <c r="M45" s="20" t="s">
        <v>258</v>
      </c>
      <c r="N45" s="20"/>
      <c r="O45" s="20"/>
      <c r="P45" s="1"/>
      <c r="Q45" s="1"/>
      <c r="R45" s="17">
        <f>SUM(K45:Q45)</f>
        <v>0</v>
      </c>
      <c r="T45" s="14">
        <f>R45+J45</f>
        <v>0</v>
      </c>
      <c r="V45" s="28"/>
      <c r="W45" s="29"/>
      <c r="X45" s="28"/>
      <c r="Y45" s="28"/>
      <c r="Z45" s="28"/>
      <c r="AA45" s="28"/>
    </row>
    <row r="46" spans="2:32" ht="15" thickBot="1" x14ac:dyDescent="0.35">
      <c r="B46" s="67"/>
      <c r="C46" s="19" t="s">
        <v>270</v>
      </c>
      <c r="D46" s="12"/>
      <c r="E46" s="1"/>
      <c r="F46" s="1"/>
      <c r="G46" s="1"/>
      <c r="H46" s="1"/>
      <c r="I46" s="1"/>
      <c r="J46" s="19">
        <f>(D46*D$62)+(E46*E$62)+(F46*F$62)+(G46*G$62)+(H46*H$62)+(I46*I$62)</f>
        <v>0</v>
      </c>
      <c r="K46" s="12" t="s">
        <v>258</v>
      </c>
      <c r="L46" s="20" t="s">
        <v>258</v>
      </c>
      <c r="M46" s="12" t="s">
        <v>258</v>
      </c>
      <c r="N46" s="20"/>
      <c r="O46" s="20"/>
      <c r="P46" s="1"/>
      <c r="Q46" s="1"/>
      <c r="R46" s="17">
        <f>SUM(K46:Q46)</f>
        <v>0</v>
      </c>
      <c r="T46" s="14">
        <f>R46+J46</f>
        <v>0</v>
      </c>
      <c r="V46" s="28"/>
      <c r="W46" s="29"/>
      <c r="X46" s="28"/>
      <c r="Y46" s="28"/>
      <c r="Z46" s="28"/>
      <c r="AA46" s="28"/>
    </row>
    <row r="47" spans="2:32" x14ac:dyDescent="0.3">
      <c r="B47" s="67"/>
      <c r="C47" s="19" t="s">
        <v>65</v>
      </c>
      <c r="D47" s="20"/>
      <c r="E47" s="1"/>
      <c r="F47" s="1"/>
      <c r="G47" s="1">
        <v>1</v>
      </c>
      <c r="H47" s="1"/>
      <c r="I47" s="1"/>
      <c r="J47" s="19">
        <f>(D47*D$62)+(E47*E$62)+(F47*F$62)+(G47*G$62)+(H47*H$62)+(I47*I$62)</f>
        <v>50</v>
      </c>
      <c r="K47" s="20" t="s">
        <v>258</v>
      </c>
      <c r="L47" s="20" t="s">
        <v>258</v>
      </c>
      <c r="M47" s="20" t="s">
        <v>258</v>
      </c>
      <c r="N47" s="20"/>
      <c r="O47" s="20"/>
      <c r="P47" s="1"/>
      <c r="Q47" s="1"/>
      <c r="R47" s="17">
        <f>SUM(K47:Q47)</f>
        <v>0</v>
      </c>
      <c r="T47" s="14">
        <f>R47+J47</f>
        <v>50</v>
      </c>
      <c r="V47" s="28"/>
      <c r="W47" s="29"/>
      <c r="X47" s="28"/>
      <c r="Y47" s="28"/>
      <c r="Z47" s="28"/>
      <c r="AA47" s="28"/>
    </row>
    <row r="48" spans="2:32" ht="15" thickBot="1" x14ac:dyDescent="0.35">
      <c r="B48" s="68"/>
      <c r="C48" s="11" t="s">
        <v>63</v>
      </c>
      <c r="D48" s="12"/>
      <c r="E48" s="10"/>
      <c r="F48" s="10"/>
      <c r="G48" s="10"/>
      <c r="H48" s="10"/>
      <c r="I48" s="10"/>
      <c r="J48" s="11">
        <f>(D48*D$62)+(E48*E$62)+(F48*F$62)+(G48*G$62)+(H48*H$62)+(I48*I$62)</f>
        <v>0</v>
      </c>
      <c r="K48" s="12" t="s">
        <v>258</v>
      </c>
      <c r="L48" s="12" t="s">
        <v>258</v>
      </c>
      <c r="M48" s="12" t="s">
        <v>258</v>
      </c>
      <c r="N48" s="12"/>
      <c r="O48" s="12"/>
      <c r="P48" s="10"/>
      <c r="Q48" s="10"/>
      <c r="R48" s="13">
        <f>SUM(K48:Q48)</f>
        <v>0</v>
      </c>
      <c r="T48" s="34">
        <f>R48+J48</f>
        <v>0</v>
      </c>
      <c r="V48" s="28"/>
      <c r="W48" s="29"/>
      <c r="X48" s="28"/>
      <c r="Y48" s="28"/>
      <c r="Z48" s="28"/>
      <c r="AA48" s="28"/>
    </row>
    <row r="49" spans="2:27" ht="15" thickBot="1" x14ac:dyDescent="0.35">
      <c r="T49" s="37">
        <f>SUM(T44:T48)</f>
        <v>200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108</v>
      </c>
      <c r="D50" s="23">
        <v>75</v>
      </c>
      <c r="E50" s="6"/>
      <c r="F50" s="6"/>
      <c r="G50" s="6"/>
      <c r="H50" s="6">
        <v>1</v>
      </c>
      <c r="I50" s="6"/>
      <c r="J50" s="7">
        <f>(D50*D$62)+(E50*E$62)+(F50*F$62)+(G50*G$62)+(H50*H$62)+(I50*I$62)</f>
        <v>425</v>
      </c>
      <c r="K50" s="23">
        <v>150</v>
      </c>
      <c r="L50" s="23" t="s">
        <v>258</v>
      </c>
      <c r="M50" s="23" t="s">
        <v>258</v>
      </c>
      <c r="N50" s="23"/>
      <c r="O50" s="23"/>
      <c r="P50" s="6"/>
      <c r="Q50" s="6"/>
      <c r="R50" s="24">
        <f>SUM(K50:Q50)</f>
        <v>150</v>
      </c>
      <c r="T50" s="33">
        <f>(R50+J50)*2</f>
        <v>1150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40</v>
      </c>
      <c r="D51" s="20"/>
      <c r="E51" s="1"/>
      <c r="F51" s="1"/>
      <c r="G51" s="1"/>
      <c r="H51" s="1"/>
      <c r="I51" s="1"/>
      <c r="J51" s="19">
        <f>(D51*D$62)+(E51*E$62)+(F51*F$62)+(G51*G$62)+(H51*H$62)+(I51*I$62)</f>
        <v>0</v>
      </c>
      <c r="K51" s="20" t="s">
        <v>258</v>
      </c>
      <c r="L51" s="20" t="s">
        <v>258</v>
      </c>
      <c r="M51" s="20" t="s">
        <v>258</v>
      </c>
      <c r="N51" s="20"/>
      <c r="O51" s="20"/>
      <c r="P51" s="1"/>
      <c r="Q51" s="1"/>
      <c r="R51" s="17">
        <f>SUM(K51:Q51)</f>
        <v>0</v>
      </c>
      <c r="T51" s="14">
        <f>R51+J51</f>
        <v>0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242</v>
      </c>
      <c r="D52" s="20"/>
      <c r="E52" s="1">
        <v>1</v>
      </c>
      <c r="F52" s="1"/>
      <c r="G52" s="1"/>
      <c r="H52" s="1"/>
      <c r="I52" s="1"/>
      <c r="J52" s="19">
        <f>(D52*D$62)+(E52*E$62)+(F52*F$62)+(G52*G$62)+(H52*H$62)+(I52*I$62)</f>
        <v>100</v>
      </c>
      <c r="K52" s="20" t="s">
        <v>258</v>
      </c>
      <c r="L52" s="20" t="s">
        <v>258</v>
      </c>
      <c r="M52" s="20" t="s">
        <v>258</v>
      </c>
      <c r="N52" s="20"/>
      <c r="O52" s="20"/>
      <c r="P52" s="1"/>
      <c r="Q52" s="1"/>
      <c r="R52" s="17">
        <f>SUM(K52:Q52)</f>
        <v>0</v>
      </c>
      <c r="T52" s="14">
        <f>R52+J52</f>
        <v>100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141</v>
      </c>
      <c r="D53" s="20"/>
      <c r="E53" s="1"/>
      <c r="F53" s="1"/>
      <c r="G53" s="1"/>
      <c r="H53" s="1"/>
      <c r="I53" s="1"/>
      <c r="J53" s="19">
        <f>(D53*D$62)+(E53*E$62)+(F53*F$62)+(G53*G$62)+(H53*H$62)+(I53*I$62)</f>
        <v>0</v>
      </c>
      <c r="K53" s="20" t="s">
        <v>258</v>
      </c>
      <c r="L53" s="20" t="s">
        <v>258</v>
      </c>
      <c r="M53" s="20" t="s">
        <v>258</v>
      </c>
      <c r="N53" s="20"/>
      <c r="O53" s="20"/>
      <c r="P53" s="1"/>
      <c r="Q53" s="1"/>
      <c r="R53" s="17">
        <f>SUM(K53:Q53)</f>
        <v>0</v>
      </c>
      <c r="T53" s="14">
        <f>R53+J53</f>
        <v>0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102</v>
      </c>
      <c r="D54" s="12"/>
      <c r="E54" s="10"/>
      <c r="F54" s="10"/>
      <c r="G54" s="10"/>
      <c r="H54" s="10"/>
      <c r="I54" s="10"/>
      <c r="J54" s="11">
        <f>(D54*D$62)+(E54*E$62)+(F54*F$62)+(G54*G$62)+(H54*H$62)+(I54*I$62)</f>
        <v>0</v>
      </c>
      <c r="K54" s="12" t="s">
        <v>258</v>
      </c>
      <c r="L54" s="12" t="s">
        <v>258</v>
      </c>
      <c r="M54" s="12" t="s">
        <v>258</v>
      </c>
      <c r="N54" s="12"/>
      <c r="O54" s="12"/>
      <c r="P54" s="10"/>
      <c r="Q54" s="10"/>
      <c r="R54" s="13">
        <f>SUM(K54:Q54)</f>
        <v>0</v>
      </c>
      <c r="T54" s="34">
        <f>R54+J54</f>
        <v>0</v>
      </c>
      <c r="V54" s="28"/>
      <c r="W54" s="29"/>
      <c r="X54" s="28"/>
      <c r="Y54" s="28"/>
      <c r="Z54" s="28"/>
      <c r="AA54" s="28"/>
    </row>
    <row r="55" spans="2:27" ht="15" thickBot="1" x14ac:dyDescent="0.35">
      <c r="T55" s="37">
        <f>SUM(T50:T54)</f>
        <v>1250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665</v>
      </c>
      <c r="Y63" s="42">
        <f>SUM(Y64:Y71)</f>
        <v>12640</v>
      </c>
      <c r="Z63" s="42">
        <f>SUM(Z64:Z71)</f>
        <v>-8005</v>
      </c>
      <c r="AA63" s="42">
        <f>SUM(AA64:AA71)</f>
        <v>-5300</v>
      </c>
    </row>
    <row r="64" spans="2:27" x14ac:dyDescent="0.3">
      <c r="B64" s="66" t="s">
        <v>211</v>
      </c>
      <c r="C64" s="38" t="s">
        <v>114</v>
      </c>
      <c r="D64" s="5">
        <v>1</v>
      </c>
      <c r="E64" s="6"/>
      <c r="F64" s="6">
        <v>1</v>
      </c>
      <c r="G64" s="6"/>
      <c r="H64" s="6">
        <v>1</v>
      </c>
      <c r="I64" s="6"/>
      <c r="J64" s="7">
        <f>(D64*D$62)+(E64*E$62)+(F64*F$62)+(G64*G$62)+(H64*H$62)+(I64*I$62)</f>
        <v>105</v>
      </c>
      <c r="K64" s="15" t="s">
        <v>258</v>
      </c>
      <c r="L64" s="15" t="s">
        <v>258</v>
      </c>
      <c r="M64" s="15" t="s">
        <v>258</v>
      </c>
      <c r="N64" s="15"/>
      <c r="O64" s="15"/>
      <c r="P64" s="16"/>
      <c r="Q64" s="16"/>
      <c r="R64" s="17">
        <f>SUM(K64:Q64)</f>
        <v>0</v>
      </c>
      <c r="T64" s="14">
        <f>(R64+J64)*2</f>
        <v>210</v>
      </c>
      <c r="V64" s="28">
        <v>1</v>
      </c>
      <c r="W64" s="29">
        <v>45758</v>
      </c>
      <c r="X64" s="28">
        <v>4670</v>
      </c>
      <c r="Y64" s="28">
        <v>-1680</v>
      </c>
      <c r="Z64" s="28">
        <v>-1540</v>
      </c>
      <c r="AA64" s="28">
        <v>-1450</v>
      </c>
    </row>
    <row r="65" spans="2:27" x14ac:dyDescent="0.3">
      <c r="B65" s="67"/>
      <c r="C65" s="4" t="s">
        <v>71</v>
      </c>
      <c r="D65" s="18">
        <v>33</v>
      </c>
      <c r="E65" s="1"/>
      <c r="F65" s="1"/>
      <c r="G65" s="1"/>
      <c r="H65" s="1">
        <v>1</v>
      </c>
      <c r="I65" s="1"/>
      <c r="J65" s="19">
        <f>(D65*D$62)+(E65*E$62)+(F65*F$62)+(G65*G$62)+(H65*H$62)+(I65*I$62)</f>
        <v>215</v>
      </c>
      <c r="K65" s="20">
        <v>50</v>
      </c>
      <c r="L65" s="20" t="s">
        <v>258</v>
      </c>
      <c r="M65" s="20" t="s">
        <v>258</v>
      </c>
      <c r="N65" s="20"/>
      <c r="O65" s="20"/>
      <c r="P65" s="1"/>
      <c r="Q65" s="1"/>
      <c r="R65" s="17">
        <f>SUM(K65:Q65)</f>
        <v>50</v>
      </c>
      <c r="T65" s="14">
        <f>R65+J65</f>
        <v>265</v>
      </c>
      <c r="V65" s="28">
        <v>2</v>
      </c>
      <c r="W65" s="29">
        <v>45759</v>
      </c>
      <c r="X65" s="45">
        <v>-665</v>
      </c>
      <c r="Y65" s="45">
        <v>2850</v>
      </c>
      <c r="Z65" s="45">
        <v>-1475</v>
      </c>
      <c r="AA65" s="45">
        <v>-710</v>
      </c>
    </row>
    <row r="66" spans="2:27" x14ac:dyDescent="0.3">
      <c r="B66" s="67"/>
      <c r="C66" s="4" t="s">
        <v>51</v>
      </c>
      <c r="D66" s="18"/>
      <c r="E66" s="1"/>
      <c r="F66" s="1"/>
      <c r="G66" s="1"/>
      <c r="H66" s="1"/>
      <c r="I66" s="1"/>
      <c r="J66" s="19">
        <f>(D66*D$62)+(E66*E$62)+(F66*F$62)+(G66*G$62)+(H66*H$62)+(I66*I$62)</f>
        <v>0</v>
      </c>
      <c r="K66" s="20" t="s">
        <v>258</v>
      </c>
      <c r="L66" s="20" t="s">
        <v>258</v>
      </c>
      <c r="M66" s="20" t="s">
        <v>258</v>
      </c>
      <c r="N66" s="20"/>
      <c r="O66" s="20"/>
      <c r="P66" s="1"/>
      <c r="Q66" s="1"/>
      <c r="R66" s="17">
        <f>SUM(K66:Q66)</f>
        <v>0</v>
      </c>
      <c r="T66" s="14">
        <f>R66+J66</f>
        <v>0</v>
      </c>
      <c r="V66" s="28">
        <v>3</v>
      </c>
      <c r="W66" s="44">
        <v>45759</v>
      </c>
      <c r="X66" s="28">
        <v>-2075</v>
      </c>
      <c r="Y66" s="28">
        <v>6640</v>
      </c>
      <c r="Z66" s="28">
        <v>-2975</v>
      </c>
      <c r="AA66" s="28">
        <v>-1590</v>
      </c>
    </row>
    <row r="67" spans="2:27" x14ac:dyDescent="0.3">
      <c r="B67" s="67"/>
      <c r="C67" s="4" t="s">
        <v>45</v>
      </c>
      <c r="D67" s="18">
        <v>1</v>
      </c>
      <c r="E67" s="1"/>
      <c r="F67" s="1"/>
      <c r="G67" s="1"/>
      <c r="H67" s="1">
        <v>1</v>
      </c>
      <c r="I67" s="1"/>
      <c r="J67" s="19">
        <f>(D67*D$62)+(E67*E$62)+(F67*F$62)+(G67*G$62)+(H67*H$62)+(I67*I$62)</f>
        <v>55</v>
      </c>
      <c r="K67" s="20" t="s">
        <v>258</v>
      </c>
      <c r="L67" s="20" t="s">
        <v>258</v>
      </c>
      <c r="M67" s="20" t="s">
        <v>258</v>
      </c>
      <c r="N67" s="20"/>
      <c r="O67" s="20"/>
      <c r="P67" s="1"/>
      <c r="Q67" s="1"/>
      <c r="R67" s="17">
        <f>SUM(K67:Q67)</f>
        <v>0</v>
      </c>
      <c r="T67" s="14">
        <f>R67+J67</f>
        <v>55</v>
      </c>
      <c r="V67" s="28">
        <v>4</v>
      </c>
      <c r="W67" s="44">
        <v>45760</v>
      </c>
      <c r="X67" s="28">
        <v>-335</v>
      </c>
      <c r="Y67" s="28">
        <v>2435</v>
      </c>
      <c r="Z67" s="28">
        <v>-1575</v>
      </c>
      <c r="AA67" s="28">
        <v>-525</v>
      </c>
    </row>
    <row r="68" spans="2:27" ht="15" thickBot="1" x14ac:dyDescent="0.35">
      <c r="B68" s="68"/>
      <c r="C68" s="21" t="s">
        <v>58</v>
      </c>
      <c r="D68" s="9">
        <v>0</v>
      </c>
      <c r="E68" s="10"/>
      <c r="F68" s="10"/>
      <c r="G68" s="10"/>
      <c r="H68" s="10"/>
      <c r="I68" s="10">
        <v>1</v>
      </c>
      <c r="J68" s="11">
        <f>(D68*D$62)+(E68*E$62)+(F68*F$62)+(G68*G$62)+(H68*H$62)+(I68*I$62)</f>
        <v>-50</v>
      </c>
      <c r="K68" s="12" t="s">
        <v>258</v>
      </c>
      <c r="L68" s="12" t="s">
        <v>258</v>
      </c>
      <c r="M68" s="12" t="s">
        <v>258</v>
      </c>
      <c r="N68" s="12"/>
      <c r="O68" s="12"/>
      <c r="P68" s="10"/>
      <c r="Q68" s="10"/>
      <c r="R68" s="13">
        <f>SUM(K68:Q68)</f>
        <v>0</v>
      </c>
      <c r="T68" s="22">
        <f>(R68+J68)</f>
        <v>-50</v>
      </c>
      <c r="V68" s="28">
        <v>5</v>
      </c>
      <c r="W68" s="29">
        <v>45760</v>
      </c>
      <c r="X68" s="28">
        <v>-930</v>
      </c>
      <c r="Y68" s="28">
        <v>2395</v>
      </c>
      <c r="Z68" s="28">
        <v>-440</v>
      </c>
      <c r="AA68" s="28">
        <v>-1025</v>
      </c>
    </row>
    <row r="69" spans="2:27" ht="15" thickBot="1" x14ac:dyDescent="0.35">
      <c r="K69" s="2" t="s">
        <v>258</v>
      </c>
      <c r="L69" s="2" t="s">
        <v>258</v>
      </c>
      <c r="T69" s="37">
        <f>SUM(T64:T68)</f>
        <v>480</v>
      </c>
      <c r="V69" s="28">
        <v>6</v>
      </c>
      <c r="W69" s="29"/>
      <c r="X69" s="28"/>
      <c r="Y69" s="28"/>
      <c r="Z69" s="28"/>
      <c r="AA69" s="28"/>
    </row>
    <row r="70" spans="2:27" x14ac:dyDescent="0.3">
      <c r="B70" s="66" t="s">
        <v>96</v>
      </c>
      <c r="C70" s="39" t="s">
        <v>271</v>
      </c>
      <c r="D70" s="23">
        <v>41</v>
      </c>
      <c r="E70" s="6"/>
      <c r="F70" s="6">
        <v>2</v>
      </c>
      <c r="G70" s="6">
        <v>1</v>
      </c>
      <c r="H70" s="6"/>
      <c r="I70" s="6"/>
      <c r="J70" s="7">
        <f>(D70*D$62)+(E70*E$62)+(F70*F$62)+(G70*G$62)+(H70*H$62)+(I70*I$62)</f>
        <v>355</v>
      </c>
      <c r="K70" s="23">
        <v>50</v>
      </c>
      <c r="L70" s="23" t="s">
        <v>258</v>
      </c>
      <c r="M70" s="23"/>
      <c r="N70" s="23"/>
      <c r="O70" s="23"/>
      <c r="P70" s="6"/>
      <c r="Q70" s="6"/>
      <c r="R70" s="24">
        <f>SUM(K70:Q70)</f>
        <v>50</v>
      </c>
      <c r="T70" s="33">
        <f>(R70+J70)*2</f>
        <v>810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 t="s">
        <v>166</v>
      </c>
      <c r="D71" s="20">
        <v>2</v>
      </c>
      <c r="E71" s="1"/>
      <c r="F71" s="1"/>
      <c r="G71" s="1"/>
      <c r="H71" s="1"/>
      <c r="I71" s="1"/>
      <c r="J71" s="19">
        <f>(D71*D$62)+(E71*E$62)+(F71*F$62)+(G71*G$62)+(H71*H$62)+(I71*I$62)</f>
        <v>10</v>
      </c>
      <c r="K71" s="20" t="s">
        <v>258</v>
      </c>
      <c r="L71" s="20" t="s">
        <v>258</v>
      </c>
      <c r="M71" s="20"/>
      <c r="N71" s="20"/>
      <c r="O71" s="20"/>
      <c r="P71" s="1"/>
      <c r="Q71" s="1"/>
      <c r="R71" s="17">
        <f>SUM(K71:Q71)</f>
        <v>0</v>
      </c>
      <c r="T71" s="14">
        <f>R71+J71</f>
        <v>10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 t="s">
        <v>44</v>
      </c>
      <c r="D72" s="20">
        <v>9</v>
      </c>
      <c r="E72" s="1"/>
      <c r="F72" s="1"/>
      <c r="G72" s="1"/>
      <c r="H72" s="1"/>
      <c r="I72" s="1"/>
      <c r="J72" s="19">
        <f>(D72*D$62)+(E72*E$62)+(F72*F$62)+(G72*G$62)+(H72*H$62)+(I72*I$62)</f>
        <v>45</v>
      </c>
      <c r="K72" s="20" t="s">
        <v>258</v>
      </c>
      <c r="L72" s="20" t="s">
        <v>258</v>
      </c>
      <c r="M72" s="20"/>
      <c r="N72" s="20"/>
      <c r="O72" s="20"/>
      <c r="P72" s="1"/>
      <c r="Q72" s="1"/>
      <c r="R72" s="17">
        <f>SUM(K72:Q72)</f>
        <v>0</v>
      </c>
      <c r="T72" s="14">
        <f>R72+J72</f>
        <v>45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 t="s">
        <v>55</v>
      </c>
      <c r="D73" s="20">
        <v>59</v>
      </c>
      <c r="E73" s="1"/>
      <c r="F73" s="1"/>
      <c r="G73" s="1"/>
      <c r="H73" s="1"/>
      <c r="I73" s="1"/>
      <c r="J73" s="19">
        <f>(D73*D$62)+(E73*E$62)+(F73*F$62)+(G73*G$62)+(H73*H$62)+(I73*I$62)</f>
        <v>295</v>
      </c>
      <c r="K73" s="20">
        <v>150</v>
      </c>
      <c r="L73" s="20" t="s">
        <v>258</v>
      </c>
      <c r="M73" s="20"/>
      <c r="N73" s="20"/>
      <c r="O73" s="20"/>
      <c r="P73" s="1"/>
      <c r="Q73" s="1"/>
      <c r="R73" s="17">
        <f>SUM(K73:Q73)</f>
        <v>150</v>
      </c>
      <c r="T73" s="14">
        <f>R73+J73</f>
        <v>445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 t="s">
        <v>23</v>
      </c>
      <c r="D74" s="12"/>
      <c r="E74" s="10">
        <v>1</v>
      </c>
      <c r="F74" s="10"/>
      <c r="G74" s="10"/>
      <c r="H74" s="10"/>
      <c r="I74" s="10"/>
      <c r="J74" s="11">
        <f>(D74*D$62)+(E74*E$62)+(F74*F$62)+(G74*G$62)+(H74*H$62)+(I74*I$62)</f>
        <v>100</v>
      </c>
      <c r="K74" s="12" t="s">
        <v>258</v>
      </c>
      <c r="L74" s="12" t="s">
        <v>258</v>
      </c>
      <c r="M74" s="12"/>
      <c r="N74" s="12"/>
      <c r="O74" s="12"/>
      <c r="P74" s="10"/>
      <c r="Q74" s="10"/>
      <c r="R74" s="13">
        <f>SUM(K74:Q74)</f>
        <v>0</v>
      </c>
      <c r="T74" s="34">
        <f>R74+J74</f>
        <v>100</v>
      </c>
      <c r="V74" s="28"/>
      <c r="W74" s="29"/>
      <c r="X74" s="28"/>
      <c r="Y74" s="28"/>
      <c r="Z74" s="28"/>
      <c r="AA74" s="28"/>
    </row>
    <row r="75" spans="2:27" ht="15" thickBot="1" x14ac:dyDescent="0.35">
      <c r="K75" s="2" t="s">
        <v>258</v>
      </c>
      <c r="L75" s="2" t="s">
        <v>258</v>
      </c>
      <c r="T75" s="37">
        <f>SUM(T70:T74)</f>
        <v>1410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 t="s">
        <v>256</v>
      </c>
      <c r="D76" s="23">
        <v>15</v>
      </c>
      <c r="E76" s="6"/>
      <c r="F76" s="6"/>
      <c r="G76" s="6"/>
      <c r="H76" s="6"/>
      <c r="I76" s="6"/>
      <c r="J76" s="7">
        <f>(D76*D$62)+(E76*E$62)+(F76*F$62)+(G76*G$62)+(H76*H$62)+(I76*I$62)</f>
        <v>75</v>
      </c>
      <c r="K76" s="23" t="s">
        <v>258</v>
      </c>
      <c r="L76" s="23" t="s">
        <v>258</v>
      </c>
      <c r="M76" s="23"/>
      <c r="N76" s="23"/>
      <c r="O76" s="23"/>
      <c r="P76" s="6"/>
      <c r="Q76" s="6"/>
      <c r="R76" s="24">
        <f>SUM(K76:Q76)</f>
        <v>0</v>
      </c>
      <c r="T76" s="33">
        <f>(R76+J76)*2</f>
        <v>150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70</v>
      </c>
      <c r="D77" s="20">
        <v>40</v>
      </c>
      <c r="E77" s="1"/>
      <c r="F77" s="1"/>
      <c r="G77" s="1"/>
      <c r="H77" s="1">
        <v>1</v>
      </c>
      <c r="I77" s="1"/>
      <c r="J77" s="19">
        <f>(D77*D$62)+(E77*E$62)+(F77*F$62)+(G77*G$62)+(H77*H$62)+(I77*I$62)</f>
        <v>250</v>
      </c>
      <c r="K77" s="20">
        <v>50</v>
      </c>
      <c r="L77" s="20" t="s">
        <v>258</v>
      </c>
      <c r="M77" s="20"/>
      <c r="N77" s="20"/>
      <c r="O77" s="20"/>
      <c r="P77" s="1"/>
      <c r="Q77" s="1"/>
      <c r="R77" s="17">
        <f>SUM(K77:Q77)</f>
        <v>50</v>
      </c>
      <c r="T77" s="14">
        <f>R77+J77</f>
        <v>300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 t="s">
        <v>240</v>
      </c>
      <c r="D78" s="20"/>
      <c r="E78" s="1">
        <v>1</v>
      </c>
      <c r="F78" s="1"/>
      <c r="G78" s="1"/>
      <c r="H78" s="1"/>
      <c r="I78" s="1"/>
      <c r="J78" s="19">
        <f>(D78*D$62)+(E78*E$62)+(F78*F$62)+(G78*G$62)+(H78*H$62)+(I78*I$62)</f>
        <v>100</v>
      </c>
      <c r="K78" s="20" t="s">
        <v>258</v>
      </c>
      <c r="L78" s="20" t="s">
        <v>258</v>
      </c>
      <c r="M78" s="20"/>
      <c r="N78" s="20"/>
      <c r="O78" s="20"/>
      <c r="P78" s="1"/>
      <c r="Q78" s="1"/>
      <c r="R78" s="17">
        <f>SUM(K78:Q78)</f>
        <v>0</v>
      </c>
      <c r="T78" s="14">
        <f>R78+J78</f>
        <v>100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 t="s">
        <v>175</v>
      </c>
      <c r="D79" s="20">
        <v>14</v>
      </c>
      <c r="E79" s="1">
        <v>2</v>
      </c>
      <c r="F79" s="1"/>
      <c r="G79" s="1"/>
      <c r="H79" s="1"/>
      <c r="I79" s="1"/>
      <c r="J79" s="19">
        <f>(D79*D$62)+(E79*E$62)+(F79*F$62)+(G79*G$62)+(H79*H$62)+(I79*I$62)</f>
        <v>270</v>
      </c>
      <c r="K79" s="20" t="s">
        <v>258</v>
      </c>
      <c r="L79" s="20">
        <v>50</v>
      </c>
      <c r="M79" s="20"/>
      <c r="N79" s="20"/>
      <c r="O79" s="20"/>
      <c r="P79" s="1"/>
      <c r="Q79" s="1"/>
      <c r="R79" s="17">
        <f>SUM(K79:Q79)</f>
        <v>50</v>
      </c>
      <c r="T79" s="14">
        <f>R79+J79</f>
        <v>320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 t="s">
        <v>62</v>
      </c>
      <c r="D80" s="12"/>
      <c r="E80" s="10">
        <v>1</v>
      </c>
      <c r="F80" s="10"/>
      <c r="G80" s="10"/>
      <c r="H80" s="10"/>
      <c r="I80" s="10"/>
      <c r="J80" s="11">
        <f>(D80*D$62)+(E80*E$62)+(F80*F$62)+(G80*G$62)+(H80*H$62)+(I80*I$62)</f>
        <v>100</v>
      </c>
      <c r="K80" s="12" t="s">
        <v>258</v>
      </c>
      <c r="L80" s="12" t="s">
        <v>258</v>
      </c>
      <c r="M80" s="12"/>
      <c r="N80" s="12"/>
      <c r="O80" s="12"/>
      <c r="P80" s="10"/>
      <c r="Q80" s="10"/>
      <c r="R80" s="13">
        <f>SUM(K80:Q80)</f>
        <v>0</v>
      </c>
      <c r="T80" s="34">
        <f>R80+J80</f>
        <v>100</v>
      </c>
      <c r="V80" s="28"/>
      <c r="W80" s="29"/>
      <c r="X80" s="28"/>
      <c r="Y80" s="28"/>
      <c r="Z80" s="28"/>
      <c r="AA80" s="28"/>
    </row>
    <row r="81" spans="2:27" ht="15" thickBot="1" x14ac:dyDescent="0.35">
      <c r="K81" s="2" t="s">
        <v>258</v>
      </c>
      <c r="L81" s="2" t="s">
        <v>258</v>
      </c>
      <c r="T81" s="37">
        <f>SUM(T76:T80)</f>
        <v>970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 t="s">
        <v>81</v>
      </c>
      <c r="D82" s="23">
        <v>0</v>
      </c>
      <c r="E82" s="6"/>
      <c r="F82" s="6"/>
      <c r="G82" s="6"/>
      <c r="H82" s="6"/>
      <c r="I82" s="6">
        <v>1</v>
      </c>
      <c r="J82" s="7">
        <f>(D82*D$62)+(E82*E$62)+(F82*F$62)+(G82*G$62)+(H82*H$62)+(I82*I$62)</f>
        <v>-50</v>
      </c>
      <c r="K82" s="23" t="s">
        <v>258</v>
      </c>
      <c r="L82" s="23" t="s">
        <v>258</v>
      </c>
      <c r="M82" s="23"/>
      <c r="N82" s="23"/>
      <c r="O82" s="23"/>
      <c r="P82" s="6"/>
      <c r="Q82" s="6"/>
      <c r="R82" s="24">
        <f>SUM(K82:Q82)</f>
        <v>0</v>
      </c>
      <c r="T82" s="33">
        <f>(R82+J82)*2</f>
        <v>-100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57</v>
      </c>
      <c r="D83" s="20">
        <v>18</v>
      </c>
      <c r="E83" s="1"/>
      <c r="F83" s="1"/>
      <c r="G83" s="1"/>
      <c r="H83" s="1"/>
      <c r="I83" s="1"/>
      <c r="J83" s="19">
        <f>(D83*D$62)+(E83*E$62)+(F83*F$62)+(G83*G$62)+(H83*H$62)+(I83*I$62)</f>
        <v>90</v>
      </c>
      <c r="K83" s="20" t="s">
        <v>258</v>
      </c>
      <c r="L83" s="20" t="s">
        <v>258</v>
      </c>
      <c r="M83" s="20"/>
      <c r="N83" s="20"/>
      <c r="O83" s="20"/>
      <c r="P83" s="1"/>
      <c r="Q83" s="1"/>
      <c r="R83" s="17">
        <f>SUM(K83:Q83)</f>
        <v>0</v>
      </c>
      <c r="T83" s="14">
        <f>R83+J83</f>
        <v>90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 t="s">
        <v>47</v>
      </c>
      <c r="D84" s="20">
        <v>1</v>
      </c>
      <c r="E84" s="1"/>
      <c r="F84" s="1"/>
      <c r="G84" s="1"/>
      <c r="H84" s="1">
        <v>1</v>
      </c>
      <c r="I84" s="1"/>
      <c r="J84" s="19">
        <f>(D84*D$62)+(E84*E$62)+(F84*F$62)+(G84*G$62)+(H84*H$62)+(I84*I$62)</f>
        <v>55</v>
      </c>
      <c r="K84" s="20" t="s">
        <v>258</v>
      </c>
      <c r="L84" s="20" t="s">
        <v>258</v>
      </c>
      <c r="M84" s="20" t="s">
        <v>258</v>
      </c>
      <c r="N84" s="20"/>
      <c r="O84" s="20"/>
      <c r="P84" s="1"/>
      <c r="Q84" s="1"/>
      <c r="R84" s="17">
        <f>SUM(K84:Q84)</f>
        <v>0</v>
      </c>
      <c r="T84" s="14">
        <f>R84+J84</f>
        <v>55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 t="s">
        <v>41</v>
      </c>
      <c r="D85" s="20">
        <v>1</v>
      </c>
      <c r="E85" s="1">
        <v>2</v>
      </c>
      <c r="F85" s="1"/>
      <c r="G85" s="1"/>
      <c r="H85" s="1"/>
      <c r="I85" s="1"/>
      <c r="J85" s="19">
        <f>(D85*D$62)+(E85*E$62)+(F85*F$62)+(G85*G$62)+(H85*H$62)+(I85*I$62)</f>
        <v>205</v>
      </c>
      <c r="K85" s="20" t="s">
        <v>258</v>
      </c>
      <c r="L85" s="20">
        <v>50</v>
      </c>
      <c r="M85" s="20" t="s">
        <v>258</v>
      </c>
      <c r="N85" s="20"/>
      <c r="O85" s="20"/>
      <c r="P85" s="1"/>
      <c r="Q85" s="1"/>
      <c r="R85" s="17">
        <f>SUM(K85:Q85)</f>
        <v>50</v>
      </c>
      <c r="T85" s="14">
        <f>R85+J85</f>
        <v>255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 t="s">
        <v>83</v>
      </c>
      <c r="D86" s="12">
        <v>17</v>
      </c>
      <c r="E86" s="10"/>
      <c r="F86" s="10"/>
      <c r="G86" s="10"/>
      <c r="H86" s="10"/>
      <c r="I86" s="10"/>
      <c r="J86" s="11">
        <f>(D86*D$62)+(E86*E$62)+(F86*F$62)+(G86*G$62)+(H86*H$62)+(I86*I$62)</f>
        <v>85</v>
      </c>
      <c r="K86" s="12" t="s">
        <v>258</v>
      </c>
      <c r="L86" s="12" t="s">
        <v>258</v>
      </c>
      <c r="M86" s="12" t="s">
        <v>258</v>
      </c>
      <c r="N86" s="12"/>
      <c r="O86" s="12"/>
      <c r="P86" s="10"/>
      <c r="Q86" s="10"/>
      <c r="R86" s="13">
        <f>SUM(K86:Q86)</f>
        <v>0</v>
      </c>
      <c r="T86" s="34">
        <f>R86+J86</f>
        <v>85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385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AK87"/>
  <sheetViews>
    <sheetView topLeftCell="B5" zoomScaleNormal="100" workbookViewId="0">
      <selection activeCell="L45" sqref="L45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K3" s="46"/>
    </row>
    <row r="4" spans="2:37" x14ac:dyDescent="0.3">
      <c r="AE4" s="46"/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27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27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6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</row>
    <row r="31" spans="2:27" ht="36.6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7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265</v>
      </c>
      <c r="Y31" s="42">
        <f>SUM(Y32:Y39)</f>
        <v>12240</v>
      </c>
      <c r="Z31" s="42">
        <f>SUM(Z32:Z39)</f>
        <v>-8095</v>
      </c>
      <c r="AA31" s="42">
        <f>SUM(AA32:AA39)</f>
        <v>-4410</v>
      </c>
    </row>
    <row r="32" spans="2:27" x14ac:dyDescent="0.3">
      <c r="B32" s="66" t="s">
        <v>211</v>
      </c>
      <c r="C32" s="38" t="s">
        <v>151</v>
      </c>
      <c r="D32" s="5">
        <v>6</v>
      </c>
      <c r="E32" s="6">
        <v>1</v>
      </c>
      <c r="F32" s="6"/>
      <c r="G32" s="6"/>
      <c r="H32" s="6">
        <v>1</v>
      </c>
      <c r="I32" s="6"/>
      <c r="J32" s="7">
        <f>(D32*D$62)+(E32*E$62)+(F32*F$62)+(G32*G$62)+(H32*H$62)+(I32*I$62)</f>
        <v>180</v>
      </c>
      <c r="K32" s="15" t="str">
        <f>IF(D32&gt;=100, 250, IF(D32&gt;=50, 150, IF(D32&gt;=30, 50, "")))</f>
        <v/>
      </c>
      <c r="L32" s="15" t="s">
        <v>258</v>
      </c>
      <c r="M32" s="15" t="s">
        <v>258</v>
      </c>
      <c r="N32" s="15"/>
      <c r="O32" s="15"/>
      <c r="P32" s="16"/>
      <c r="Q32" s="16"/>
      <c r="R32" s="17">
        <f>SUM(K32:Q32)</f>
        <v>0</v>
      </c>
      <c r="T32" s="14">
        <f>(R32+J32)*2</f>
        <v>360</v>
      </c>
      <c r="V32" s="28">
        <v>1</v>
      </c>
      <c r="W32" s="29">
        <v>45758</v>
      </c>
      <c r="X32" s="28">
        <v>4670</v>
      </c>
      <c r="Y32" s="28">
        <v>-1680</v>
      </c>
      <c r="Z32" s="28">
        <v>-1540</v>
      </c>
      <c r="AA32" s="28">
        <v>-1450</v>
      </c>
    </row>
    <row r="33" spans="2:37" x14ac:dyDescent="0.3">
      <c r="B33" s="67"/>
      <c r="C33" s="4" t="s">
        <v>66</v>
      </c>
      <c r="D33" s="18">
        <v>43</v>
      </c>
      <c r="E33" s="1"/>
      <c r="F33" s="1"/>
      <c r="G33" s="1"/>
      <c r="H33" s="1"/>
      <c r="I33" s="1"/>
      <c r="J33" s="19">
        <f>(D33*D$62)+(E33*E$62)+(F33*F$62)+(G33*G$62)+(H33*H$62)+(I33*I$62)</f>
        <v>215</v>
      </c>
      <c r="K33" s="15">
        <f>IF(D33&gt;=100, 250, IF(D33&gt;=50, 150, IF(D33&gt;=30, 50, "")))</f>
        <v>50</v>
      </c>
      <c r="L33" s="20" t="s">
        <v>258</v>
      </c>
      <c r="M33" s="20" t="s">
        <v>258</v>
      </c>
      <c r="N33" s="20"/>
      <c r="O33" s="20"/>
      <c r="P33" s="1"/>
      <c r="Q33" s="1"/>
      <c r="R33" s="17">
        <f>SUM(K33:Q33)</f>
        <v>50</v>
      </c>
      <c r="T33" s="14">
        <f>R33+J33</f>
        <v>265</v>
      </c>
      <c r="V33" s="28">
        <v>2</v>
      </c>
      <c r="W33" s="29">
        <v>45759</v>
      </c>
      <c r="X33" s="45">
        <v>-665</v>
      </c>
      <c r="Y33" s="45">
        <v>2850</v>
      </c>
      <c r="Z33" s="45">
        <v>-1475</v>
      </c>
      <c r="AA33" s="45">
        <v>-710</v>
      </c>
    </row>
    <row r="34" spans="2:37" x14ac:dyDescent="0.3">
      <c r="B34" s="67"/>
      <c r="C34" s="4" t="s">
        <v>184</v>
      </c>
      <c r="D34" s="18"/>
      <c r="E34" s="1"/>
      <c r="F34" s="1"/>
      <c r="G34" s="1"/>
      <c r="H34" s="1"/>
      <c r="I34" s="1"/>
      <c r="J34" s="19">
        <f>(D34*D$62)+(E34*E$62)+(F34*F$62)+(G34*G$62)+(H34*H$62)+(I34*I$62)</f>
        <v>0</v>
      </c>
      <c r="K34" s="15" t="str">
        <f>IF(D34&gt;=100, 250, IF(D34&gt;=50, 150, IF(D34&gt;=30, 50, "")))</f>
        <v/>
      </c>
      <c r="L34" s="20" t="s">
        <v>258</v>
      </c>
      <c r="M34" s="20" t="s">
        <v>258</v>
      </c>
      <c r="N34" s="20"/>
      <c r="O34" s="20"/>
      <c r="P34" s="1"/>
      <c r="Q34" s="1"/>
      <c r="R34" s="17">
        <f>SUM(K34:Q34)</f>
        <v>0</v>
      </c>
      <c r="T34" s="14">
        <f>R34+J34</f>
        <v>0</v>
      </c>
      <c r="V34" s="28">
        <v>3</v>
      </c>
      <c r="W34" s="44">
        <v>45759</v>
      </c>
      <c r="X34" s="28">
        <v>-2075</v>
      </c>
      <c r="Y34" s="28">
        <v>6640</v>
      </c>
      <c r="Z34" s="28">
        <v>-2975</v>
      </c>
      <c r="AA34" s="28">
        <v>-1590</v>
      </c>
    </row>
    <row r="35" spans="2:37" x14ac:dyDescent="0.3">
      <c r="B35" s="67"/>
      <c r="C35" s="4" t="s">
        <v>273</v>
      </c>
      <c r="D35" s="18">
        <v>9</v>
      </c>
      <c r="E35" s="1"/>
      <c r="F35" s="1"/>
      <c r="G35" s="1"/>
      <c r="H35" s="1">
        <v>1</v>
      </c>
      <c r="I35" s="1"/>
      <c r="J35" s="19">
        <f>(D35*D$62)+(E35*E$62)+(F35*F$62)+(G35*G$62)+(H35*H$62)+(I35*I$62)</f>
        <v>95</v>
      </c>
      <c r="K35" s="15" t="str">
        <f>IF(D35&gt;=100, 250, IF(D35&gt;=50, 150, IF(D35&gt;=30, 50, "")))</f>
        <v/>
      </c>
      <c r="L35" s="20" t="s">
        <v>258</v>
      </c>
      <c r="M35" s="20" t="s">
        <v>258</v>
      </c>
      <c r="N35" s="20"/>
      <c r="O35" s="20"/>
      <c r="P35" s="1"/>
      <c r="Q35" s="1"/>
      <c r="R35" s="17">
        <f>SUM(K35:Q35)</f>
        <v>0</v>
      </c>
      <c r="T35" s="14">
        <f>R35+J35</f>
        <v>95</v>
      </c>
      <c r="V35" s="28">
        <v>4</v>
      </c>
      <c r="W35" s="44">
        <v>45760</v>
      </c>
      <c r="X35" s="28">
        <v>-335</v>
      </c>
      <c r="Y35" s="28">
        <v>2435</v>
      </c>
      <c r="Z35" s="28">
        <v>-1575</v>
      </c>
      <c r="AA35" s="28">
        <v>-525</v>
      </c>
      <c r="AD35" s="50" t="s">
        <v>5</v>
      </c>
      <c r="AE35" s="50" t="s">
        <v>235</v>
      </c>
      <c r="AG35" s="47"/>
      <c r="AH35" s="47" t="s">
        <v>211</v>
      </c>
      <c r="AI35" s="48" t="s">
        <v>96</v>
      </c>
      <c r="AJ35" s="48" t="s">
        <v>97</v>
      </c>
      <c r="AK35" s="48" t="s">
        <v>98</v>
      </c>
    </row>
    <row r="36" spans="2:37" ht="15" thickBot="1" x14ac:dyDescent="0.35">
      <c r="B36" s="68"/>
      <c r="C36" s="21" t="s">
        <v>266</v>
      </c>
      <c r="D36" s="9"/>
      <c r="E36" s="10"/>
      <c r="F36" s="10"/>
      <c r="G36" s="10"/>
      <c r="H36" s="10"/>
      <c r="I36" s="10"/>
      <c r="J36" s="11">
        <f>(D36*D$62)+(E36*E$62)+(F36*F$62)+(G36*G$62)+(H36*H$62)+(I36*I$62)</f>
        <v>0</v>
      </c>
      <c r="K36" s="12" t="str">
        <f>IF(D36&gt;=100, 250, IF(D36&gt;=50, 150, IF(D36&gt;=30, 50, "")))</f>
        <v/>
      </c>
      <c r="L36" s="12" t="s">
        <v>258</v>
      </c>
      <c r="M36" s="12" t="s">
        <v>258</v>
      </c>
      <c r="N36" s="12"/>
      <c r="O36" s="12"/>
      <c r="P36" s="10"/>
      <c r="Q36" s="10"/>
      <c r="R36" s="13">
        <f>SUM(K36:Q36)</f>
        <v>0</v>
      </c>
      <c r="T36" s="22">
        <f>(R36+J36)</f>
        <v>0</v>
      </c>
      <c r="V36" s="28">
        <v>5</v>
      </c>
      <c r="W36" s="29">
        <v>45760</v>
      </c>
      <c r="X36" s="28">
        <v>-930</v>
      </c>
      <c r="Y36" s="28">
        <v>2395</v>
      </c>
      <c r="Z36" s="28">
        <v>-440</v>
      </c>
      <c r="AA36" s="28">
        <v>-1025</v>
      </c>
      <c r="AD36" s="28" t="s">
        <v>211</v>
      </c>
      <c r="AE36" s="28">
        <f>T37</f>
        <v>720</v>
      </c>
      <c r="AG36" s="49" t="s">
        <v>165</v>
      </c>
      <c r="AH36" s="49">
        <v>-4745</v>
      </c>
      <c r="AI36" s="49">
        <v>2405</v>
      </c>
      <c r="AJ36" s="49">
        <v>10275</v>
      </c>
      <c r="AK36" s="49">
        <v>-7935</v>
      </c>
    </row>
    <row r="37" spans="2:37" ht="15" thickBot="1" x14ac:dyDescent="0.35">
      <c r="K37" s="2" t="s">
        <v>258</v>
      </c>
      <c r="L37" s="2" t="s">
        <v>258</v>
      </c>
      <c r="T37" s="51">
        <f>SUM(T32:T36)</f>
        <v>720</v>
      </c>
      <c r="V37" s="28">
        <v>6</v>
      </c>
      <c r="W37" s="29">
        <v>45761</v>
      </c>
      <c r="X37" s="28">
        <f>T37-T55</f>
        <v>-400</v>
      </c>
      <c r="Y37" s="28">
        <f>T43-T55</f>
        <v>-400</v>
      </c>
      <c r="Z37" s="28">
        <f>T49-T55</f>
        <v>-90</v>
      </c>
      <c r="AA37" s="28">
        <f>-(X37+Y37+Z37)</f>
        <v>890</v>
      </c>
      <c r="AD37" s="28" t="s">
        <v>96</v>
      </c>
      <c r="AE37" s="28">
        <f>T43</f>
        <v>720</v>
      </c>
      <c r="AG37" s="49" t="s">
        <v>210</v>
      </c>
      <c r="AH37" s="49">
        <v>-5315</v>
      </c>
      <c r="AI37" s="49">
        <v>-3535</v>
      </c>
      <c r="AJ37" s="49">
        <v>5950</v>
      </c>
      <c r="AK37" s="49">
        <v>2900</v>
      </c>
    </row>
    <row r="38" spans="2:37" x14ac:dyDescent="0.3">
      <c r="B38" s="66" t="s">
        <v>96</v>
      </c>
      <c r="C38" s="39" t="s">
        <v>53</v>
      </c>
      <c r="D38" s="23">
        <v>8</v>
      </c>
      <c r="E38" s="6"/>
      <c r="F38" s="6"/>
      <c r="G38" s="6"/>
      <c r="H38" s="6">
        <v>1</v>
      </c>
      <c r="I38" s="6"/>
      <c r="J38" s="7">
        <f>(D38*D$62)+(E38*E$62)+(F38*F$62)+(G38*G$62)+(H38*H$62)+(I38*I$62)</f>
        <v>90</v>
      </c>
      <c r="K38" s="23" t="s">
        <v>258</v>
      </c>
      <c r="L38" s="23" t="s">
        <v>258</v>
      </c>
      <c r="M38" s="23"/>
      <c r="N38" s="23"/>
      <c r="O38" s="23"/>
      <c r="P38" s="6"/>
      <c r="Q38" s="6"/>
      <c r="R38" s="24">
        <f>SUM(K38:Q38)</f>
        <v>0</v>
      </c>
      <c r="T38" s="33">
        <f>(R38+J38)*2</f>
        <v>180</v>
      </c>
      <c r="V38" s="28">
        <v>7</v>
      </c>
      <c r="W38" s="29"/>
      <c r="X38" s="28"/>
      <c r="Y38" s="28"/>
      <c r="Z38" s="28"/>
      <c r="AA38" s="28"/>
      <c r="AD38" s="28" t="s">
        <v>97</v>
      </c>
      <c r="AE38" s="28">
        <f>T49</f>
        <v>1030</v>
      </c>
      <c r="AG38" s="49" t="s">
        <v>236</v>
      </c>
      <c r="AH38" s="49">
        <v>14615</v>
      </c>
      <c r="AI38" s="49">
        <v>-7370</v>
      </c>
      <c r="AJ38" s="49">
        <v>-1095</v>
      </c>
      <c r="AK38" s="49">
        <v>-6150</v>
      </c>
    </row>
    <row r="39" spans="2:37" x14ac:dyDescent="0.3">
      <c r="B39" s="67"/>
      <c r="C39" s="19" t="s">
        <v>38</v>
      </c>
      <c r="D39" s="20">
        <v>63</v>
      </c>
      <c r="E39" s="1"/>
      <c r="F39" s="1"/>
      <c r="G39" s="1"/>
      <c r="H39" s="1"/>
      <c r="I39" s="1"/>
      <c r="J39" s="19">
        <f>(D39*D$62)+(E39*E$62)+(F39*F$62)+(G39*G$62)+(H39*H$62)+(I39*I$62)</f>
        <v>315</v>
      </c>
      <c r="K39" s="20">
        <v>150</v>
      </c>
      <c r="L39" s="20" t="s">
        <v>258</v>
      </c>
      <c r="M39" s="20"/>
      <c r="N39" s="20"/>
      <c r="O39" s="20"/>
      <c r="P39" s="1"/>
      <c r="Q39" s="1"/>
      <c r="R39" s="17">
        <f>SUM(K39:Q39)</f>
        <v>150</v>
      </c>
      <c r="T39" s="14">
        <f>R39+J39</f>
        <v>465</v>
      </c>
      <c r="V39" s="28">
        <v>8</v>
      </c>
      <c r="W39" s="29"/>
      <c r="X39" s="28"/>
      <c r="Y39" s="28"/>
      <c r="Z39" s="28"/>
      <c r="AA39" s="28"/>
      <c r="AD39" s="28" t="s">
        <v>98</v>
      </c>
      <c r="AE39" s="28">
        <f>T55</f>
        <v>1120</v>
      </c>
      <c r="AG39" s="49" t="s">
        <v>272</v>
      </c>
      <c r="AH39" s="49">
        <f>X31</f>
        <v>265</v>
      </c>
      <c r="AI39" s="49">
        <f>Y31</f>
        <v>12240</v>
      </c>
      <c r="AJ39" s="49">
        <f>Z31</f>
        <v>-8095</v>
      </c>
      <c r="AK39" s="49">
        <f>AA31</f>
        <v>-4410</v>
      </c>
    </row>
    <row r="40" spans="2:37" x14ac:dyDescent="0.3">
      <c r="B40" s="67"/>
      <c r="C40" s="19" t="s">
        <v>26</v>
      </c>
      <c r="D40" s="20"/>
      <c r="E40" s="1"/>
      <c r="F40" s="1"/>
      <c r="G40" s="1"/>
      <c r="H40" s="1"/>
      <c r="I40" s="1"/>
      <c r="J40" s="19">
        <f>(D40*D$62)+(E40*E$62)+(F40*F$62)+(G40*G$62)+(H40*H$62)+(I40*I$62)</f>
        <v>0</v>
      </c>
      <c r="K40" s="20" t="s">
        <v>258</v>
      </c>
      <c r="L40" s="20" t="s">
        <v>258</v>
      </c>
      <c r="M40" s="20"/>
      <c r="N40" s="20"/>
      <c r="O40" s="20"/>
      <c r="P40" s="1"/>
      <c r="Q40" s="1"/>
      <c r="R40" s="17">
        <f>SUM(K40:Q40)</f>
        <v>0</v>
      </c>
      <c r="T40" s="14">
        <f>R40+J40</f>
        <v>0</v>
      </c>
      <c r="V40" s="28"/>
      <c r="W40" s="29"/>
      <c r="X40" s="28"/>
      <c r="Y40" s="28"/>
      <c r="Z40" s="28"/>
      <c r="AA40" s="28"/>
      <c r="AG40" s="49" t="s">
        <v>0</v>
      </c>
      <c r="AH40" s="49">
        <f>SUM(AH36:AH39)</f>
        <v>4820</v>
      </c>
      <c r="AI40" s="49">
        <f t="shared" ref="AI40:AK40" si="0">SUM(AI36:AI39)</f>
        <v>3740</v>
      </c>
      <c r="AJ40" s="49">
        <f t="shared" si="0"/>
        <v>7035</v>
      </c>
      <c r="AK40" s="49">
        <f t="shared" si="0"/>
        <v>-15595</v>
      </c>
    </row>
    <row r="41" spans="2:37" x14ac:dyDescent="0.3">
      <c r="B41" s="67"/>
      <c r="C41" s="19" t="s">
        <v>117</v>
      </c>
      <c r="D41" s="20">
        <v>6</v>
      </c>
      <c r="E41" s="1"/>
      <c r="F41" s="1"/>
      <c r="G41" s="1"/>
      <c r="H41" s="1"/>
      <c r="I41" s="1"/>
      <c r="J41" s="19">
        <f>(D41*D$62)+(E41*E$62)+(F41*F$62)+(G41*G$62)+(H41*H$62)+(I41*I$62)</f>
        <v>30</v>
      </c>
      <c r="K41" s="20" t="s">
        <v>258</v>
      </c>
      <c r="L41" s="20" t="s">
        <v>258</v>
      </c>
      <c r="M41" s="20"/>
      <c r="N41" s="20"/>
      <c r="O41" s="20"/>
      <c r="P41" s="1"/>
      <c r="Q41" s="1"/>
      <c r="R41" s="17">
        <f>SUM(K41:Q41)</f>
        <v>0</v>
      </c>
      <c r="T41" s="14">
        <f>R41+J41</f>
        <v>30</v>
      </c>
      <c r="V41" s="28"/>
      <c r="W41" s="29"/>
      <c r="X41" s="28"/>
      <c r="Y41" s="28"/>
      <c r="Z41" s="28"/>
      <c r="AA41" s="28"/>
    </row>
    <row r="42" spans="2:37" ht="15" thickBot="1" x14ac:dyDescent="0.35">
      <c r="B42" s="68"/>
      <c r="C42" s="11" t="s">
        <v>274</v>
      </c>
      <c r="D42" s="12">
        <v>9</v>
      </c>
      <c r="E42" s="10"/>
      <c r="F42" s="10"/>
      <c r="G42" s="10"/>
      <c r="H42" s="10"/>
      <c r="I42" s="10"/>
      <c r="J42" s="11">
        <f>(D42*D$62)+(E42*E$62)+(F42*F$62)+(G42*G$62)+(H42*H$62)+(I42*I$62)</f>
        <v>45</v>
      </c>
      <c r="K42" s="12" t="s">
        <v>258</v>
      </c>
      <c r="L42" s="12" t="s">
        <v>258</v>
      </c>
      <c r="M42" s="12"/>
      <c r="N42" s="12"/>
      <c r="O42" s="12"/>
      <c r="P42" s="10"/>
      <c r="Q42" s="10"/>
      <c r="R42" s="13">
        <f>SUM(K42:Q42)</f>
        <v>0</v>
      </c>
      <c r="T42" s="34">
        <f>R42+J42</f>
        <v>45</v>
      </c>
      <c r="V42" s="28"/>
      <c r="W42" s="29"/>
      <c r="X42" s="28"/>
      <c r="Y42" s="28"/>
      <c r="Z42" s="28"/>
      <c r="AA42" s="28"/>
    </row>
    <row r="43" spans="2:37" ht="15" thickBot="1" x14ac:dyDescent="0.35">
      <c r="K43" s="2" t="s">
        <v>258</v>
      </c>
      <c r="L43" s="2" t="s">
        <v>258</v>
      </c>
      <c r="T43" s="51">
        <f>SUM(T38:T42)</f>
        <v>720</v>
      </c>
      <c r="V43" s="28"/>
      <c r="W43" s="29"/>
      <c r="X43" s="28"/>
      <c r="Y43" s="28"/>
      <c r="Z43" s="28"/>
      <c r="AA43" s="28"/>
    </row>
    <row r="44" spans="2:37" x14ac:dyDescent="0.3">
      <c r="B44" s="66" t="s">
        <v>97</v>
      </c>
      <c r="C44" s="39" t="s">
        <v>36</v>
      </c>
      <c r="D44" s="23">
        <v>37</v>
      </c>
      <c r="E44" s="6"/>
      <c r="F44" s="6"/>
      <c r="G44" s="6"/>
      <c r="H44" s="6"/>
      <c r="I44" s="6"/>
      <c r="J44" s="7">
        <f>(D44*D$62)+(E44*E$62)+(F44*F$62)+(G44*G$62)+(H44*H$62)+(I44*I$62)</f>
        <v>185</v>
      </c>
      <c r="K44" s="23">
        <v>50</v>
      </c>
      <c r="L44" s="23" t="s">
        <v>258</v>
      </c>
      <c r="M44" s="23"/>
      <c r="N44" s="23"/>
      <c r="O44" s="23"/>
      <c r="P44" s="6"/>
      <c r="Q44" s="6"/>
      <c r="R44" s="24">
        <f>SUM(K44:Q44)</f>
        <v>50</v>
      </c>
      <c r="T44" s="33">
        <f>(R44+J44)*2</f>
        <v>470</v>
      </c>
      <c r="V44" s="28"/>
      <c r="W44" s="29"/>
      <c r="X44" s="28"/>
      <c r="Y44" s="28"/>
      <c r="Z44" s="28"/>
      <c r="AA44" s="28"/>
    </row>
    <row r="45" spans="2:37" x14ac:dyDescent="0.3">
      <c r="B45" s="67"/>
      <c r="C45" s="19" t="s">
        <v>181</v>
      </c>
      <c r="D45" s="20"/>
      <c r="E45" s="1">
        <v>2</v>
      </c>
      <c r="F45" s="1"/>
      <c r="G45" s="1"/>
      <c r="H45" s="1"/>
      <c r="I45" s="1"/>
      <c r="J45" s="19">
        <f>(D45*D$62)+(E45*E$62)+(F45*F$62)+(G45*G$62)+(H45*H$62)+(I45*I$62)</f>
        <v>200</v>
      </c>
      <c r="K45" s="20" t="s">
        <v>258</v>
      </c>
      <c r="L45" s="20">
        <v>50</v>
      </c>
      <c r="M45" s="20"/>
      <c r="N45" s="20"/>
      <c r="O45" s="20"/>
      <c r="P45" s="1"/>
      <c r="Q45" s="1"/>
      <c r="R45" s="17">
        <f>SUM(K45:Q45)</f>
        <v>50</v>
      </c>
      <c r="T45" s="14">
        <f>R45+J45</f>
        <v>250</v>
      </c>
      <c r="V45" s="28"/>
      <c r="W45" s="29"/>
      <c r="X45" s="28"/>
      <c r="Y45" s="28"/>
      <c r="Z45" s="28"/>
      <c r="AA45" s="28"/>
    </row>
    <row r="46" spans="2:37" x14ac:dyDescent="0.3">
      <c r="B46" s="67"/>
      <c r="C46" s="19" t="s">
        <v>212</v>
      </c>
      <c r="D46" s="20"/>
      <c r="E46" s="1">
        <v>1</v>
      </c>
      <c r="F46" s="1"/>
      <c r="G46" s="1"/>
      <c r="H46" s="1"/>
      <c r="I46" s="1"/>
      <c r="J46" s="19">
        <f>(D46*D$62)+(E46*E$62)+(F46*F$62)+(G46*G$62)+(H46*H$62)+(I46*I$62)</f>
        <v>100</v>
      </c>
      <c r="K46" s="20" t="s">
        <v>258</v>
      </c>
      <c r="L46" s="20" t="s">
        <v>258</v>
      </c>
      <c r="M46" s="20"/>
      <c r="N46" s="20"/>
      <c r="O46" s="20"/>
      <c r="P46" s="1"/>
      <c r="Q46" s="1"/>
      <c r="R46" s="17">
        <f>SUM(K46:Q46)</f>
        <v>0</v>
      </c>
      <c r="T46" s="14">
        <f>R46+J46</f>
        <v>100</v>
      </c>
      <c r="V46" s="28"/>
      <c r="W46" s="29"/>
      <c r="X46" s="28"/>
      <c r="Y46" s="28"/>
      <c r="Z46" s="28"/>
      <c r="AA46" s="28"/>
    </row>
    <row r="47" spans="2:37" x14ac:dyDescent="0.3">
      <c r="B47" s="67"/>
      <c r="C47" s="19" t="s">
        <v>118</v>
      </c>
      <c r="D47" s="20">
        <v>22</v>
      </c>
      <c r="E47" s="1"/>
      <c r="F47" s="1"/>
      <c r="G47" s="1"/>
      <c r="H47" s="1"/>
      <c r="I47" s="1"/>
      <c r="J47" s="19">
        <f>(D47*D$62)+(E47*E$62)+(F47*F$62)+(G47*G$62)+(H47*H$62)+(I47*I$62)</f>
        <v>110</v>
      </c>
      <c r="K47" s="20" t="s">
        <v>258</v>
      </c>
      <c r="L47" s="20" t="s">
        <v>258</v>
      </c>
      <c r="M47" s="20"/>
      <c r="N47" s="20"/>
      <c r="O47" s="20"/>
      <c r="P47" s="1"/>
      <c r="Q47" s="1"/>
      <c r="R47" s="17">
        <f>SUM(K47:Q47)</f>
        <v>0</v>
      </c>
      <c r="T47" s="14">
        <f>R47+J47</f>
        <v>110</v>
      </c>
      <c r="V47" s="28"/>
      <c r="W47" s="29"/>
      <c r="X47" s="28"/>
      <c r="Y47" s="28"/>
      <c r="Z47" s="28"/>
      <c r="AA47" s="28"/>
    </row>
    <row r="48" spans="2:37" ht="15" thickBot="1" x14ac:dyDescent="0.35">
      <c r="B48" s="68"/>
      <c r="C48" s="11" t="s">
        <v>275</v>
      </c>
      <c r="D48" s="12"/>
      <c r="E48" s="10">
        <v>1</v>
      </c>
      <c r="F48" s="10"/>
      <c r="G48" s="10"/>
      <c r="H48" s="10"/>
      <c r="I48" s="10"/>
      <c r="J48" s="11">
        <f>(D48*D$62)+(E48*E$62)+(F48*F$62)+(G48*G$62)+(H48*H$62)+(I48*I$62)</f>
        <v>100</v>
      </c>
      <c r="K48" s="12" t="s">
        <v>258</v>
      </c>
      <c r="L48" s="12" t="s">
        <v>258</v>
      </c>
      <c r="M48" s="12"/>
      <c r="N48" s="12"/>
      <c r="O48" s="12"/>
      <c r="P48" s="10"/>
      <c r="Q48" s="10"/>
      <c r="R48" s="13">
        <f>SUM(K48:Q48)</f>
        <v>0</v>
      </c>
      <c r="T48" s="34">
        <f>R48+J48</f>
        <v>100</v>
      </c>
      <c r="V48" s="28"/>
      <c r="W48" s="29"/>
      <c r="X48" s="28"/>
      <c r="Y48" s="28"/>
      <c r="Z48" s="28"/>
      <c r="AA48" s="28"/>
    </row>
    <row r="49" spans="2:27" ht="15" thickBot="1" x14ac:dyDescent="0.35">
      <c r="K49" s="2" t="s">
        <v>258</v>
      </c>
      <c r="L49" s="2" t="s">
        <v>258</v>
      </c>
      <c r="T49" s="51">
        <f>SUM(T44:T48)</f>
        <v>1030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37</v>
      </c>
      <c r="D50" s="23">
        <v>30</v>
      </c>
      <c r="E50" s="6"/>
      <c r="F50" s="6"/>
      <c r="G50" s="6"/>
      <c r="H50" s="6"/>
      <c r="I50" s="6"/>
      <c r="J50" s="7">
        <f>(D50*D$62)+(E50*E$62)+(F50*F$62)+(G50*G$62)+(H50*H$62)+(I50*I$62)</f>
        <v>150</v>
      </c>
      <c r="K50" s="23">
        <v>50</v>
      </c>
      <c r="L50" s="23" t="s">
        <v>258</v>
      </c>
      <c r="M50" s="23"/>
      <c r="N50" s="23"/>
      <c r="O50" s="23"/>
      <c r="P50" s="6"/>
      <c r="Q50" s="6"/>
      <c r="R50" s="24">
        <f>SUM(K50:Q50)</f>
        <v>50</v>
      </c>
      <c r="T50" s="33">
        <f>(R50+J50)*2</f>
        <v>400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276</v>
      </c>
      <c r="D51" s="20">
        <v>27</v>
      </c>
      <c r="E51" s="1"/>
      <c r="F51" s="1"/>
      <c r="G51" s="1"/>
      <c r="H51" s="1">
        <v>1</v>
      </c>
      <c r="I51" s="1"/>
      <c r="J51" s="19">
        <f>(D51*D$62)+(E51*E$62)+(F51*F$62)+(G51*G$62)+(H51*H$62)+(I51*I$62)</f>
        <v>185</v>
      </c>
      <c r="K51" s="20" t="s">
        <v>258</v>
      </c>
      <c r="L51" s="20" t="s">
        <v>258</v>
      </c>
      <c r="M51" s="20"/>
      <c r="N51" s="20"/>
      <c r="O51" s="20"/>
      <c r="P51" s="1"/>
      <c r="Q51" s="1"/>
      <c r="R51" s="17">
        <f>SUM(K51:Q51)</f>
        <v>0</v>
      </c>
      <c r="T51" s="14">
        <f>R51+J51</f>
        <v>185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77</v>
      </c>
      <c r="D52" s="20"/>
      <c r="E52" s="1">
        <v>1</v>
      </c>
      <c r="F52" s="1"/>
      <c r="G52" s="1"/>
      <c r="H52" s="1"/>
      <c r="I52" s="1"/>
      <c r="J52" s="19">
        <f>(D52*D$62)+(E52*E$62)+(F52*F$62)+(G52*G$62)+(H52*H$62)+(I52*I$62)</f>
        <v>100</v>
      </c>
      <c r="K52" s="20" t="s">
        <v>258</v>
      </c>
      <c r="L52" s="20" t="s">
        <v>258</v>
      </c>
      <c r="M52" s="20" t="s">
        <v>258</v>
      </c>
      <c r="N52" s="20"/>
      <c r="O52" s="20"/>
      <c r="P52" s="1"/>
      <c r="Q52" s="1"/>
      <c r="R52" s="17">
        <f>SUM(K52:Q52)</f>
        <v>0</v>
      </c>
      <c r="T52" s="14">
        <f>R52+J52</f>
        <v>100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148</v>
      </c>
      <c r="D53" s="20"/>
      <c r="E53" s="1">
        <v>1</v>
      </c>
      <c r="F53" s="1"/>
      <c r="G53" s="1"/>
      <c r="H53" s="1">
        <v>1</v>
      </c>
      <c r="I53" s="1"/>
      <c r="J53" s="19">
        <f>(D53*D$62)+(E53*E$62)+(F53*F$62)+(G53*G$62)+(H53*H$62)+(I53*I$62)</f>
        <v>150</v>
      </c>
      <c r="K53" s="20" t="s">
        <v>258</v>
      </c>
      <c r="L53" s="20" t="s">
        <v>258</v>
      </c>
      <c r="M53" s="20" t="s">
        <v>258</v>
      </c>
      <c r="N53" s="20"/>
      <c r="O53" s="20"/>
      <c r="P53" s="1"/>
      <c r="Q53" s="1"/>
      <c r="R53" s="17">
        <f>SUM(K53:Q53)</f>
        <v>0</v>
      </c>
      <c r="T53" s="14">
        <f>R53+J53</f>
        <v>150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59</v>
      </c>
      <c r="D54" s="12">
        <v>7</v>
      </c>
      <c r="E54" s="10">
        <v>2</v>
      </c>
      <c r="F54" s="10"/>
      <c r="G54" s="10"/>
      <c r="H54" s="10"/>
      <c r="I54" s="10"/>
      <c r="J54" s="11">
        <f>(D54*D$62)+(E54*E$62)+(F54*F$62)+(G54*G$62)+(H54*H$62)+(I54*I$62)</f>
        <v>235</v>
      </c>
      <c r="K54" s="12" t="s">
        <v>258</v>
      </c>
      <c r="L54" s="12">
        <v>50</v>
      </c>
      <c r="M54" s="12" t="s">
        <v>258</v>
      </c>
      <c r="N54" s="12"/>
      <c r="O54" s="12"/>
      <c r="P54" s="10"/>
      <c r="Q54" s="10"/>
      <c r="R54" s="13">
        <f>SUM(K54:Q54)</f>
        <v>50</v>
      </c>
      <c r="T54" s="34">
        <f>R54+J54</f>
        <v>285</v>
      </c>
      <c r="V54" s="28"/>
      <c r="W54" s="29"/>
      <c r="X54" s="28"/>
      <c r="Y54" s="28"/>
      <c r="Z54" s="28"/>
      <c r="AA54" s="28"/>
    </row>
    <row r="55" spans="2:27" ht="15" thickBot="1" x14ac:dyDescent="0.35">
      <c r="T55" s="51">
        <f>SUM(T50:T54)</f>
        <v>1120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6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36.6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7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665</v>
      </c>
      <c r="Y63" s="42">
        <f>SUM(Y64:Y71)</f>
        <v>12640</v>
      </c>
      <c r="Z63" s="42">
        <f>SUM(Z64:Z71)</f>
        <v>-8005</v>
      </c>
      <c r="AA63" s="42">
        <f>SUM(AA64:AA71)</f>
        <v>-5300</v>
      </c>
    </row>
    <row r="64" spans="2:27" x14ac:dyDescent="0.3">
      <c r="B64" s="66" t="s">
        <v>211</v>
      </c>
      <c r="C64" s="38" t="s">
        <v>114</v>
      </c>
      <c r="D64" s="5">
        <v>1</v>
      </c>
      <c r="E64" s="6"/>
      <c r="F64" s="6">
        <v>1</v>
      </c>
      <c r="G64" s="6"/>
      <c r="H64" s="6">
        <v>1</v>
      </c>
      <c r="I64" s="6"/>
      <c r="J64" s="7">
        <f>(D64*D$62)+(E64*E$62)+(F64*F$62)+(G64*G$62)+(H64*H$62)+(I64*I$62)</f>
        <v>105</v>
      </c>
      <c r="K64" s="15" t="s">
        <v>258</v>
      </c>
      <c r="L64" s="15" t="s">
        <v>258</v>
      </c>
      <c r="M64" s="15" t="s">
        <v>258</v>
      </c>
      <c r="N64" s="15"/>
      <c r="O64" s="15"/>
      <c r="P64" s="16"/>
      <c r="Q64" s="16"/>
      <c r="R64" s="17">
        <f>SUM(K64:Q64)</f>
        <v>0</v>
      </c>
      <c r="T64" s="14">
        <f>(R64+J64)*2</f>
        <v>210</v>
      </c>
      <c r="V64" s="28">
        <v>1</v>
      </c>
      <c r="W64" s="29">
        <v>45758</v>
      </c>
      <c r="X64" s="28">
        <v>4670</v>
      </c>
      <c r="Y64" s="28">
        <v>-1680</v>
      </c>
      <c r="Z64" s="28">
        <v>-1540</v>
      </c>
      <c r="AA64" s="28">
        <v>-1450</v>
      </c>
    </row>
    <row r="65" spans="2:27" x14ac:dyDescent="0.3">
      <c r="B65" s="67"/>
      <c r="C65" s="4" t="s">
        <v>71</v>
      </c>
      <c r="D65" s="18">
        <v>33</v>
      </c>
      <c r="E65" s="1"/>
      <c r="F65" s="1"/>
      <c r="G65" s="1"/>
      <c r="H65" s="1">
        <v>1</v>
      </c>
      <c r="I65" s="1"/>
      <c r="J65" s="19">
        <f>(D65*D$62)+(E65*E$62)+(F65*F$62)+(G65*G$62)+(H65*H$62)+(I65*I$62)</f>
        <v>215</v>
      </c>
      <c r="K65" s="20">
        <v>50</v>
      </c>
      <c r="L65" s="20" t="s">
        <v>258</v>
      </c>
      <c r="M65" s="20" t="s">
        <v>258</v>
      </c>
      <c r="N65" s="20"/>
      <c r="O65" s="20"/>
      <c r="P65" s="1"/>
      <c r="Q65" s="1"/>
      <c r="R65" s="17">
        <f>SUM(K65:Q65)</f>
        <v>50</v>
      </c>
      <c r="T65" s="14">
        <f>R65+J65</f>
        <v>265</v>
      </c>
      <c r="V65" s="28">
        <v>2</v>
      </c>
      <c r="W65" s="29">
        <v>45759</v>
      </c>
      <c r="X65" s="45">
        <v>-665</v>
      </c>
      <c r="Y65" s="45">
        <v>2850</v>
      </c>
      <c r="Z65" s="45">
        <v>-1475</v>
      </c>
      <c r="AA65" s="45">
        <v>-710</v>
      </c>
    </row>
    <row r="66" spans="2:27" x14ac:dyDescent="0.3">
      <c r="B66" s="67"/>
      <c r="C66" s="4" t="s">
        <v>51</v>
      </c>
      <c r="D66" s="18"/>
      <c r="E66" s="1"/>
      <c r="F66" s="1"/>
      <c r="G66" s="1"/>
      <c r="H66" s="1"/>
      <c r="I66" s="1"/>
      <c r="J66" s="19">
        <f>(D66*D$62)+(E66*E$62)+(F66*F$62)+(G66*G$62)+(H66*H$62)+(I66*I$62)</f>
        <v>0</v>
      </c>
      <c r="K66" s="20" t="s">
        <v>258</v>
      </c>
      <c r="L66" s="20" t="s">
        <v>258</v>
      </c>
      <c r="M66" s="20" t="s">
        <v>258</v>
      </c>
      <c r="N66" s="20"/>
      <c r="O66" s="20"/>
      <c r="P66" s="1"/>
      <c r="Q66" s="1"/>
      <c r="R66" s="17">
        <f>SUM(K66:Q66)</f>
        <v>0</v>
      </c>
      <c r="T66" s="14">
        <f>R66+J66</f>
        <v>0</v>
      </c>
      <c r="V66" s="28">
        <v>3</v>
      </c>
      <c r="W66" s="44">
        <v>45759</v>
      </c>
      <c r="X66" s="28">
        <v>-2075</v>
      </c>
      <c r="Y66" s="28">
        <v>6640</v>
      </c>
      <c r="Z66" s="28">
        <v>-2975</v>
      </c>
      <c r="AA66" s="28">
        <v>-1590</v>
      </c>
    </row>
    <row r="67" spans="2:27" x14ac:dyDescent="0.3">
      <c r="B67" s="67"/>
      <c r="C67" s="4" t="s">
        <v>45</v>
      </c>
      <c r="D67" s="18">
        <v>1</v>
      </c>
      <c r="E67" s="1"/>
      <c r="F67" s="1"/>
      <c r="G67" s="1"/>
      <c r="H67" s="1">
        <v>1</v>
      </c>
      <c r="I67" s="1"/>
      <c r="J67" s="19">
        <f>(D67*D$62)+(E67*E$62)+(F67*F$62)+(G67*G$62)+(H67*H$62)+(I67*I$62)</f>
        <v>55</v>
      </c>
      <c r="K67" s="20" t="s">
        <v>258</v>
      </c>
      <c r="L67" s="20" t="s">
        <v>258</v>
      </c>
      <c r="M67" s="20" t="s">
        <v>258</v>
      </c>
      <c r="N67" s="20"/>
      <c r="O67" s="20"/>
      <c r="P67" s="1"/>
      <c r="Q67" s="1"/>
      <c r="R67" s="17">
        <f>SUM(K67:Q67)</f>
        <v>0</v>
      </c>
      <c r="T67" s="14">
        <f>R67+J67</f>
        <v>55</v>
      </c>
      <c r="V67" s="28">
        <v>4</v>
      </c>
      <c r="W67" s="44">
        <v>45760</v>
      </c>
      <c r="X67" s="28">
        <v>-335</v>
      </c>
      <c r="Y67" s="28">
        <v>2435</v>
      </c>
      <c r="Z67" s="28">
        <v>-1575</v>
      </c>
      <c r="AA67" s="28">
        <v>-525</v>
      </c>
    </row>
    <row r="68" spans="2:27" ht="15" thickBot="1" x14ac:dyDescent="0.35">
      <c r="B68" s="68"/>
      <c r="C68" s="21" t="s">
        <v>58</v>
      </c>
      <c r="D68" s="9">
        <v>0</v>
      </c>
      <c r="E68" s="10"/>
      <c r="F68" s="10"/>
      <c r="G68" s="10"/>
      <c r="H68" s="10"/>
      <c r="I68" s="10">
        <v>1</v>
      </c>
      <c r="J68" s="11">
        <f>(D68*D$62)+(E68*E$62)+(F68*F$62)+(G68*G$62)+(H68*H$62)+(I68*I$62)</f>
        <v>-50</v>
      </c>
      <c r="K68" s="12" t="s">
        <v>258</v>
      </c>
      <c r="L68" s="12" t="s">
        <v>258</v>
      </c>
      <c r="M68" s="12" t="s">
        <v>258</v>
      </c>
      <c r="N68" s="12"/>
      <c r="O68" s="12"/>
      <c r="P68" s="10"/>
      <c r="Q68" s="10"/>
      <c r="R68" s="13">
        <f>SUM(K68:Q68)</f>
        <v>0</v>
      </c>
      <c r="T68" s="22">
        <f>(R68+J68)</f>
        <v>-50</v>
      </c>
      <c r="V68" s="28">
        <v>5</v>
      </c>
      <c r="W68" s="29">
        <v>45760</v>
      </c>
      <c r="X68" s="28">
        <v>-930</v>
      </c>
      <c r="Y68" s="28">
        <v>2395</v>
      </c>
      <c r="Z68" s="28">
        <v>-440</v>
      </c>
      <c r="AA68" s="28">
        <v>-1025</v>
      </c>
    </row>
    <row r="69" spans="2:27" ht="15" thickBot="1" x14ac:dyDescent="0.35">
      <c r="K69" s="2" t="s">
        <v>258</v>
      </c>
      <c r="L69" s="2" t="s">
        <v>258</v>
      </c>
      <c r="T69" s="37">
        <f>SUM(T64:T68)</f>
        <v>480</v>
      </c>
      <c r="V69" s="28">
        <v>6</v>
      </c>
      <c r="W69" s="29"/>
      <c r="X69" s="28"/>
      <c r="Y69" s="28"/>
      <c r="Z69" s="28"/>
      <c r="AA69" s="28"/>
    </row>
    <row r="70" spans="2:27" x14ac:dyDescent="0.3">
      <c r="B70" s="66" t="s">
        <v>96</v>
      </c>
      <c r="C70" s="39" t="s">
        <v>271</v>
      </c>
      <c r="D70" s="23">
        <v>41</v>
      </c>
      <c r="E70" s="6"/>
      <c r="F70" s="6">
        <v>2</v>
      </c>
      <c r="G70" s="6">
        <v>1</v>
      </c>
      <c r="H70" s="6"/>
      <c r="I70" s="6"/>
      <c r="J70" s="7">
        <f>(D70*D$62)+(E70*E$62)+(F70*F$62)+(G70*G$62)+(H70*H$62)+(I70*I$62)</f>
        <v>355</v>
      </c>
      <c r="K70" s="23">
        <v>50</v>
      </c>
      <c r="L70" s="23" t="s">
        <v>258</v>
      </c>
      <c r="M70" s="23"/>
      <c r="N70" s="23"/>
      <c r="O70" s="23"/>
      <c r="P70" s="6"/>
      <c r="Q70" s="6"/>
      <c r="R70" s="24">
        <f>SUM(K70:Q70)</f>
        <v>50</v>
      </c>
      <c r="T70" s="33">
        <f>(R70+J70)*2</f>
        <v>810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 t="s">
        <v>166</v>
      </c>
      <c r="D71" s="20">
        <v>2</v>
      </c>
      <c r="E71" s="1"/>
      <c r="F71" s="1"/>
      <c r="G71" s="1"/>
      <c r="H71" s="1"/>
      <c r="I71" s="1"/>
      <c r="J71" s="19">
        <f>(D71*D$62)+(E71*E$62)+(F71*F$62)+(G71*G$62)+(H71*H$62)+(I71*I$62)</f>
        <v>10</v>
      </c>
      <c r="K71" s="20" t="s">
        <v>258</v>
      </c>
      <c r="L71" s="20" t="s">
        <v>258</v>
      </c>
      <c r="M71" s="20"/>
      <c r="N71" s="20"/>
      <c r="O71" s="20"/>
      <c r="P71" s="1"/>
      <c r="Q71" s="1"/>
      <c r="R71" s="17">
        <f>SUM(K71:Q71)</f>
        <v>0</v>
      </c>
      <c r="T71" s="14">
        <f>R71+J71</f>
        <v>10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 t="s">
        <v>44</v>
      </c>
      <c r="D72" s="20">
        <v>9</v>
      </c>
      <c r="E72" s="1"/>
      <c r="F72" s="1"/>
      <c r="G72" s="1"/>
      <c r="H72" s="1"/>
      <c r="I72" s="1"/>
      <c r="J72" s="19">
        <f>(D72*D$62)+(E72*E$62)+(F72*F$62)+(G72*G$62)+(H72*H$62)+(I72*I$62)</f>
        <v>45</v>
      </c>
      <c r="K72" s="20" t="s">
        <v>258</v>
      </c>
      <c r="L72" s="20" t="s">
        <v>258</v>
      </c>
      <c r="M72" s="20"/>
      <c r="N72" s="20"/>
      <c r="O72" s="20"/>
      <c r="P72" s="1"/>
      <c r="Q72" s="1"/>
      <c r="R72" s="17">
        <f>SUM(K72:Q72)</f>
        <v>0</v>
      </c>
      <c r="T72" s="14">
        <f>R72+J72</f>
        <v>45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 t="s">
        <v>55</v>
      </c>
      <c r="D73" s="20">
        <v>59</v>
      </c>
      <c r="E73" s="1"/>
      <c r="F73" s="1"/>
      <c r="G73" s="1"/>
      <c r="H73" s="1"/>
      <c r="I73" s="1"/>
      <c r="J73" s="19">
        <f>(D73*D$62)+(E73*E$62)+(F73*F$62)+(G73*G$62)+(H73*H$62)+(I73*I$62)</f>
        <v>295</v>
      </c>
      <c r="K73" s="20">
        <v>150</v>
      </c>
      <c r="L73" s="20" t="s">
        <v>258</v>
      </c>
      <c r="M73" s="20"/>
      <c r="N73" s="20"/>
      <c r="O73" s="20"/>
      <c r="P73" s="1"/>
      <c r="Q73" s="1"/>
      <c r="R73" s="17">
        <f>SUM(K73:Q73)</f>
        <v>150</v>
      </c>
      <c r="T73" s="14">
        <f>R73+J73</f>
        <v>445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 t="s">
        <v>23</v>
      </c>
      <c r="D74" s="12"/>
      <c r="E74" s="10">
        <v>1</v>
      </c>
      <c r="F74" s="10"/>
      <c r="G74" s="10"/>
      <c r="H74" s="10"/>
      <c r="I74" s="10"/>
      <c r="J74" s="11">
        <f>(D74*D$62)+(E74*E$62)+(F74*F$62)+(G74*G$62)+(H74*H$62)+(I74*I$62)</f>
        <v>100</v>
      </c>
      <c r="K74" s="12" t="s">
        <v>258</v>
      </c>
      <c r="L74" s="12" t="s">
        <v>258</v>
      </c>
      <c r="M74" s="12"/>
      <c r="N74" s="12"/>
      <c r="O74" s="12"/>
      <c r="P74" s="10"/>
      <c r="Q74" s="10"/>
      <c r="R74" s="13">
        <f>SUM(K74:Q74)</f>
        <v>0</v>
      </c>
      <c r="T74" s="34">
        <f>R74+J74</f>
        <v>100</v>
      </c>
      <c r="V74" s="28"/>
      <c r="W74" s="29"/>
      <c r="X74" s="28"/>
      <c r="Y74" s="28"/>
      <c r="Z74" s="28"/>
      <c r="AA74" s="28"/>
    </row>
    <row r="75" spans="2:27" ht="15" thickBot="1" x14ac:dyDescent="0.35">
      <c r="K75" s="2" t="s">
        <v>258</v>
      </c>
      <c r="L75" s="2" t="s">
        <v>258</v>
      </c>
      <c r="T75" s="37">
        <f>SUM(T70:T74)</f>
        <v>1410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 t="s">
        <v>256</v>
      </c>
      <c r="D76" s="23">
        <v>15</v>
      </c>
      <c r="E76" s="6"/>
      <c r="F76" s="6"/>
      <c r="G76" s="6"/>
      <c r="H76" s="6"/>
      <c r="I76" s="6"/>
      <c r="J76" s="7">
        <f>(D76*D$62)+(E76*E$62)+(F76*F$62)+(G76*G$62)+(H76*H$62)+(I76*I$62)</f>
        <v>75</v>
      </c>
      <c r="K76" s="23" t="s">
        <v>258</v>
      </c>
      <c r="L76" s="23" t="s">
        <v>258</v>
      </c>
      <c r="M76" s="23"/>
      <c r="N76" s="23"/>
      <c r="O76" s="23"/>
      <c r="P76" s="6"/>
      <c r="Q76" s="6"/>
      <c r="R76" s="24">
        <f>SUM(K76:Q76)</f>
        <v>0</v>
      </c>
      <c r="T76" s="33">
        <f>(R76+J76)*2</f>
        <v>150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70</v>
      </c>
      <c r="D77" s="20">
        <v>40</v>
      </c>
      <c r="E77" s="1"/>
      <c r="F77" s="1"/>
      <c r="G77" s="1"/>
      <c r="H77" s="1">
        <v>1</v>
      </c>
      <c r="I77" s="1"/>
      <c r="J77" s="19">
        <f>(D77*D$62)+(E77*E$62)+(F77*F$62)+(G77*G$62)+(H77*H$62)+(I77*I$62)</f>
        <v>250</v>
      </c>
      <c r="K77" s="20">
        <v>50</v>
      </c>
      <c r="L77" s="20" t="s">
        <v>258</v>
      </c>
      <c r="M77" s="20"/>
      <c r="N77" s="20"/>
      <c r="O77" s="20"/>
      <c r="P77" s="1"/>
      <c r="Q77" s="1"/>
      <c r="R77" s="17">
        <f>SUM(K77:Q77)</f>
        <v>50</v>
      </c>
      <c r="T77" s="14">
        <f>R77+J77</f>
        <v>300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 t="s">
        <v>240</v>
      </c>
      <c r="D78" s="20"/>
      <c r="E78" s="1">
        <v>1</v>
      </c>
      <c r="F78" s="1"/>
      <c r="G78" s="1"/>
      <c r="H78" s="1"/>
      <c r="I78" s="1"/>
      <c r="J78" s="19">
        <f>(D78*D$62)+(E78*E$62)+(F78*F$62)+(G78*G$62)+(H78*H$62)+(I78*I$62)</f>
        <v>100</v>
      </c>
      <c r="K78" s="20" t="s">
        <v>258</v>
      </c>
      <c r="L78" s="20" t="s">
        <v>258</v>
      </c>
      <c r="M78" s="20"/>
      <c r="N78" s="20"/>
      <c r="O78" s="20"/>
      <c r="P78" s="1"/>
      <c r="Q78" s="1"/>
      <c r="R78" s="17">
        <f>SUM(K78:Q78)</f>
        <v>0</v>
      </c>
      <c r="T78" s="14">
        <f>R78+J78</f>
        <v>100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 t="s">
        <v>175</v>
      </c>
      <c r="D79" s="20">
        <v>14</v>
      </c>
      <c r="E79" s="1">
        <v>2</v>
      </c>
      <c r="F79" s="1"/>
      <c r="G79" s="1"/>
      <c r="H79" s="1"/>
      <c r="I79" s="1"/>
      <c r="J79" s="19">
        <f>(D79*D$62)+(E79*E$62)+(F79*F$62)+(G79*G$62)+(H79*H$62)+(I79*I$62)</f>
        <v>270</v>
      </c>
      <c r="K79" s="20" t="s">
        <v>258</v>
      </c>
      <c r="L79" s="20">
        <v>50</v>
      </c>
      <c r="M79" s="20"/>
      <c r="N79" s="20"/>
      <c r="O79" s="20"/>
      <c r="P79" s="1"/>
      <c r="Q79" s="1"/>
      <c r="R79" s="17">
        <f>SUM(K79:Q79)</f>
        <v>50</v>
      </c>
      <c r="T79" s="14">
        <f>R79+J79</f>
        <v>320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 t="s">
        <v>62</v>
      </c>
      <c r="D80" s="12"/>
      <c r="E80" s="10">
        <v>1</v>
      </c>
      <c r="F80" s="10"/>
      <c r="G80" s="10"/>
      <c r="H80" s="10"/>
      <c r="I80" s="10"/>
      <c r="J80" s="11">
        <f>(D80*D$62)+(E80*E$62)+(F80*F$62)+(G80*G$62)+(H80*H$62)+(I80*I$62)</f>
        <v>100</v>
      </c>
      <c r="K80" s="12" t="s">
        <v>258</v>
      </c>
      <c r="L80" s="12" t="s">
        <v>258</v>
      </c>
      <c r="M80" s="12"/>
      <c r="N80" s="12"/>
      <c r="O80" s="12"/>
      <c r="P80" s="10"/>
      <c r="Q80" s="10"/>
      <c r="R80" s="13">
        <f>SUM(K80:Q80)</f>
        <v>0</v>
      </c>
      <c r="T80" s="34">
        <f>R80+J80</f>
        <v>100</v>
      </c>
      <c r="V80" s="28"/>
      <c r="W80" s="29"/>
      <c r="X80" s="28"/>
      <c r="Y80" s="28"/>
      <c r="Z80" s="28"/>
      <c r="AA80" s="28"/>
    </row>
    <row r="81" spans="2:27" ht="15" thickBot="1" x14ac:dyDescent="0.35">
      <c r="K81" s="2" t="s">
        <v>258</v>
      </c>
      <c r="L81" s="2" t="s">
        <v>258</v>
      </c>
      <c r="T81" s="37">
        <f>SUM(T76:T80)</f>
        <v>970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 t="s">
        <v>81</v>
      </c>
      <c r="D82" s="23">
        <v>0</v>
      </c>
      <c r="E82" s="6"/>
      <c r="F82" s="6"/>
      <c r="G82" s="6"/>
      <c r="H82" s="6"/>
      <c r="I82" s="6">
        <v>1</v>
      </c>
      <c r="J82" s="7">
        <f>(D82*D$62)+(E82*E$62)+(F82*F$62)+(G82*G$62)+(H82*H$62)+(I82*I$62)</f>
        <v>-50</v>
      </c>
      <c r="K82" s="23" t="s">
        <v>258</v>
      </c>
      <c r="L82" s="23" t="s">
        <v>258</v>
      </c>
      <c r="M82" s="23"/>
      <c r="N82" s="23"/>
      <c r="O82" s="23"/>
      <c r="P82" s="6"/>
      <c r="Q82" s="6"/>
      <c r="R82" s="24">
        <f>SUM(K82:Q82)</f>
        <v>0</v>
      </c>
      <c r="T82" s="33">
        <f>(R82+J82)*2</f>
        <v>-100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57</v>
      </c>
      <c r="D83" s="20">
        <v>18</v>
      </c>
      <c r="E83" s="1"/>
      <c r="F83" s="1"/>
      <c r="G83" s="1"/>
      <c r="H83" s="1"/>
      <c r="I83" s="1"/>
      <c r="J83" s="19">
        <f>(D83*D$62)+(E83*E$62)+(F83*F$62)+(G83*G$62)+(H83*H$62)+(I83*I$62)</f>
        <v>90</v>
      </c>
      <c r="K83" s="20" t="s">
        <v>258</v>
      </c>
      <c r="L83" s="20" t="s">
        <v>258</v>
      </c>
      <c r="M83" s="20"/>
      <c r="N83" s="20"/>
      <c r="O83" s="20"/>
      <c r="P83" s="1"/>
      <c r="Q83" s="1"/>
      <c r="R83" s="17">
        <f>SUM(K83:Q83)</f>
        <v>0</v>
      </c>
      <c r="T83" s="14">
        <f>R83+J83</f>
        <v>90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 t="s">
        <v>47</v>
      </c>
      <c r="D84" s="20">
        <v>1</v>
      </c>
      <c r="E84" s="1"/>
      <c r="F84" s="1"/>
      <c r="G84" s="1"/>
      <c r="H84" s="1">
        <v>1</v>
      </c>
      <c r="I84" s="1"/>
      <c r="J84" s="19">
        <f>(D84*D$62)+(E84*E$62)+(F84*F$62)+(G84*G$62)+(H84*H$62)+(I84*I$62)</f>
        <v>55</v>
      </c>
      <c r="K84" s="20" t="s">
        <v>258</v>
      </c>
      <c r="L84" s="20" t="s">
        <v>258</v>
      </c>
      <c r="M84" s="20" t="s">
        <v>258</v>
      </c>
      <c r="N84" s="20"/>
      <c r="O84" s="20"/>
      <c r="P84" s="1"/>
      <c r="Q84" s="1"/>
      <c r="R84" s="17">
        <f>SUM(K84:Q84)</f>
        <v>0</v>
      </c>
      <c r="T84" s="14">
        <f>R84+J84</f>
        <v>55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 t="s">
        <v>41</v>
      </c>
      <c r="D85" s="20">
        <v>1</v>
      </c>
      <c r="E85" s="1">
        <v>2</v>
      </c>
      <c r="F85" s="1"/>
      <c r="G85" s="1"/>
      <c r="H85" s="1"/>
      <c r="I85" s="1"/>
      <c r="J85" s="19">
        <f>(D85*D$62)+(E85*E$62)+(F85*F$62)+(G85*G$62)+(H85*H$62)+(I85*I$62)</f>
        <v>205</v>
      </c>
      <c r="K85" s="20" t="s">
        <v>258</v>
      </c>
      <c r="L85" s="20">
        <v>50</v>
      </c>
      <c r="M85" s="20" t="s">
        <v>258</v>
      </c>
      <c r="N85" s="20"/>
      <c r="O85" s="20"/>
      <c r="P85" s="1"/>
      <c r="Q85" s="1"/>
      <c r="R85" s="17">
        <f>SUM(K85:Q85)</f>
        <v>50</v>
      </c>
      <c r="T85" s="14">
        <f>R85+J85</f>
        <v>255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 t="s">
        <v>83</v>
      </c>
      <c r="D86" s="12">
        <v>17</v>
      </c>
      <c r="E86" s="10"/>
      <c r="F86" s="10"/>
      <c r="G86" s="10"/>
      <c r="H86" s="10"/>
      <c r="I86" s="10"/>
      <c r="J86" s="11">
        <f>(D86*D$62)+(E86*E$62)+(F86*F$62)+(G86*G$62)+(H86*H$62)+(I86*I$62)</f>
        <v>85</v>
      </c>
      <c r="K86" s="12" t="s">
        <v>258</v>
      </c>
      <c r="L86" s="12" t="s">
        <v>258</v>
      </c>
      <c r="M86" s="12" t="s">
        <v>258</v>
      </c>
      <c r="N86" s="12"/>
      <c r="O86" s="12"/>
      <c r="P86" s="10"/>
      <c r="Q86" s="10"/>
      <c r="R86" s="13">
        <f>SUM(K86:Q86)</f>
        <v>0</v>
      </c>
      <c r="T86" s="34">
        <f>R86+J86</f>
        <v>85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385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AK87"/>
  <sheetViews>
    <sheetView topLeftCell="A6" zoomScale="90" zoomScaleNormal="90" workbookViewId="0">
      <selection activeCell="X47" sqref="X47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2" spans="2:37" x14ac:dyDescent="0.3">
      <c r="AE2" s="46"/>
      <c r="AF2" s="46"/>
      <c r="AG2" s="46"/>
      <c r="AH2" s="46"/>
      <c r="AI2" s="46"/>
      <c r="AJ2" s="46"/>
      <c r="AK2" s="46"/>
    </row>
    <row r="3" spans="2:37" x14ac:dyDescent="0.3">
      <c r="AE3" s="46"/>
      <c r="AK3" s="46"/>
    </row>
    <row r="4" spans="2:37" x14ac:dyDescent="0.3">
      <c r="AE4" s="46"/>
      <c r="AK4" s="46"/>
    </row>
    <row r="5" spans="2:3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K5" s="46"/>
    </row>
    <row r="6" spans="2:37" ht="15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AE6" s="46"/>
      <c r="AK6" s="46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AE7" s="46"/>
      <c r="AK7" s="46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AE8" s="46"/>
      <c r="AK8" s="46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2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7" ht="15" hidden="1" thickBo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7" ht="15" hidden="1" thickBot="1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27" ht="15" hidden="1" thickBo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27" ht="27.6" x14ac:dyDescent="0.3">
      <c r="B30" s="5"/>
      <c r="C30" s="7"/>
      <c r="D30" s="5">
        <v>5</v>
      </c>
      <c r="E30" s="6">
        <v>100</v>
      </c>
      <c r="F30" s="6">
        <v>50</v>
      </c>
      <c r="G30" s="6">
        <v>50</v>
      </c>
      <c r="H30" s="6">
        <v>50</v>
      </c>
      <c r="I30" s="6">
        <v>-50</v>
      </c>
      <c r="J30" s="30"/>
      <c r="K30" s="5" t="s">
        <v>1</v>
      </c>
      <c r="L30" s="31" t="s">
        <v>10</v>
      </c>
      <c r="M30" s="31" t="s">
        <v>14</v>
      </c>
      <c r="N30" s="31" t="s">
        <v>15</v>
      </c>
      <c r="O30" s="6" t="s">
        <v>8</v>
      </c>
      <c r="P30" s="32" t="s">
        <v>9</v>
      </c>
      <c r="Q30" s="6" t="s">
        <v>13</v>
      </c>
      <c r="R30" s="7"/>
      <c r="S30" s="2"/>
      <c r="T30" s="8" t="s">
        <v>0</v>
      </c>
      <c r="V30" s="35" t="s">
        <v>12</v>
      </c>
      <c r="W30" s="35" t="s">
        <v>4</v>
      </c>
      <c r="X30" s="36" t="s">
        <v>211</v>
      </c>
      <c r="Y30" s="35" t="s">
        <v>96</v>
      </c>
      <c r="Z30" s="35" t="s">
        <v>97</v>
      </c>
      <c r="AA30" s="35" t="s">
        <v>98</v>
      </c>
    </row>
    <row r="31" spans="2:27" ht="42" thickBot="1" x14ac:dyDescent="0.35">
      <c r="B31" s="9" t="s">
        <v>5</v>
      </c>
      <c r="C31" s="11" t="s">
        <v>6</v>
      </c>
      <c r="D31" s="9" t="s">
        <v>1</v>
      </c>
      <c r="E31" s="10" t="s">
        <v>10</v>
      </c>
      <c r="F31" s="10" t="s">
        <v>11</v>
      </c>
      <c r="G31" s="10" t="s">
        <v>17</v>
      </c>
      <c r="H31" s="10" t="s">
        <v>2</v>
      </c>
      <c r="I31" s="10" t="s">
        <v>7</v>
      </c>
      <c r="J31" s="21" t="s">
        <v>0</v>
      </c>
      <c r="K31" s="25" t="s">
        <v>90</v>
      </c>
      <c r="L31" s="26" t="s">
        <v>216</v>
      </c>
      <c r="M31" s="26" t="s">
        <v>92</v>
      </c>
      <c r="N31" s="26" t="s">
        <v>33</v>
      </c>
      <c r="O31" s="27" t="s">
        <v>93</v>
      </c>
      <c r="P31" s="26" t="s">
        <v>94</v>
      </c>
      <c r="Q31" s="27">
        <v>200</v>
      </c>
      <c r="R31" s="13" t="s">
        <v>0</v>
      </c>
      <c r="T31" s="14"/>
      <c r="V31" s="41"/>
      <c r="W31" s="42" t="s">
        <v>0</v>
      </c>
      <c r="X31" s="42">
        <f>SUM(X32:X39)</f>
        <v>1680</v>
      </c>
      <c r="Y31" s="42">
        <f>SUM(Y32:Y39)</f>
        <v>11905</v>
      </c>
      <c r="Z31" s="42">
        <f>SUM(Z32:Z39)</f>
        <v>-8465</v>
      </c>
      <c r="AA31" s="42">
        <f>SUM(AA32:AA39)</f>
        <v>-5120</v>
      </c>
    </row>
    <row r="32" spans="2:27" x14ac:dyDescent="0.3">
      <c r="B32" s="66" t="s">
        <v>211</v>
      </c>
      <c r="C32" s="38" t="s">
        <v>259</v>
      </c>
      <c r="D32" s="5">
        <v>5</v>
      </c>
      <c r="E32" s="6">
        <v>2</v>
      </c>
      <c r="F32" s="6"/>
      <c r="G32" s="6"/>
      <c r="H32" s="6"/>
      <c r="I32" s="6"/>
      <c r="J32" s="7">
        <f>(D32*D$62)+(E32*E$62)+(F32*F$62)+(G32*G$62)+(H32*H$62)+(I32*I$62)</f>
        <v>225</v>
      </c>
      <c r="K32" s="15" t="str">
        <f>IF(D32&gt;=100, 250, IF(D32&gt;=50, 150, IF(D32&gt;=30, 50, "")))</f>
        <v/>
      </c>
      <c r="L32" s="15">
        <f>IF(E32=5, 200, IF(E32=3, 150, IF(E32=2, 50, "")))</f>
        <v>50</v>
      </c>
      <c r="M32" s="15" t="s">
        <v>258</v>
      </c>
      <c r="N32" s="15"/>
      <c r="O32" s="15"/>
      <c r="P32" s="16"/>
      <c r="Q32" s="16"/>
      <c r="R32" s="17">
        <f>SUM(K32:Q32)</f>
        <v>50</v>
      </c>
      <c r="T32" s="14">
        <f>(R32+J32)*2</f>
        <v>550</v>
      </c>
      <c r="V32" s="28">
        <v>1</v>
      </c>
      <c r="W32" s="29">
        <v>45758</v>
      </c>
      <c r="X32" s="28">
        <v>4670</v>
      </c>
      <c r="Y32" s="28">
        <v>-1680</v>
      </c>
      <c r="Z32" s="28">
        <v>-1540</v>
      </c>
      <c r="AA32" s="28">
        <v>-1450</v>
      </c>
    </row>
    <row r="33" spans="2:37" x14ac:dyDescent="0.3">
      <c r="B33" s="67"/>
      <c r="C33" s="4" t="s">
        <v>134</v>
      </c>
      <c r="D33" s="18">
        <v>30</v>
      </c>
      <c r="E33" s="1"/>
      <c r="F33" s="1"/>
      <c r="G33" s="1"/>
      <c r="H33" s="1"/>
      <c r="I33" s="1"/>
      <c r="J33" s="19">
        <f>(D33*D$62)+(E33*E$62)+(F33*F$62)+(G33*G$62)+(H33*H$62)+(I33*I$62)</f>
        <v>150</v>
      </c>
      <c r="K33" s="15">
        <f t="shared" ref="K33:K36" si="0">IF(D33&gt;=100, 250, IF(D33&gt;=50, 150, IF(D33&gt;=30, 50, "")))</f>
        <v>50</v>
      </c>
      <c r="L33" s="20" t="str">
        <f t="shared" ref="L33:L36" si="1">IF(E33=5, 200, IF(E33=3, 150, IF(E33=2, 50, "")))</f>
        <v/>
      </c>
      <c r="M33" s="20" t="s">
        <v>258</v>
      </c>
      <c r="N33" s="20"/>
      <c r="O33" s="20"/>
      <c r="P33" s="1"/>
      <c r="Q33" s="1"/>
      <c r="R33" s="17">
        <f>SUM(K33:Q33)</f>
        <v>50</v>
      </c>
      <c r="T33" s="14">
        <f>R33+J33</f>
        <v>200</v>
      </c>
      <c r="V33" s="28">
        <v>2</v>
      </c>
      <c r="W33" s="29">
        <v>45759</v>
      </c>
      <c r="X33" s="45">
        <v>-665</v>
      </c>
      <c r="Y33" s="45">
        <v>2850</v>
      </c>
      <c r="Z33" s="45">
        <v>-1475</v>
      </c>
      <c r="AA33" s="45">
        <v>-710</v>
      </c>
    </row>
    <row r="34" spans="2:37" x14ac:dyDescent="0.3">
      <c r="B34" s="67"/>
      <c r="C34" s="4" t="s">
        <v>249</v>
      </c>
      <c r="D34" s="18">
        <v>7</v>
      </c>
      <c r="E34" s="1">
        <v>1</v>
      </c>
      <c r="F34" s="1"/>
      <c r="G34" s="1"/>
      <c r="H34" s="1"/>
      <c r="I34" s="1"/>
      <c r="J34" s="19">
        <f>(D34*D$62)+(E34*E$62)+(F34*F$62)+(G34*G$62)+(H34*H$62)+(I34*I$62)</f>
        <v>135</v>
      </c>
      <c r="K34" s="15" t="str">
        <f t="shared" si="0"/>
        <v/>
      </c>
      <c r="L34" s="20" t="str">
        <f t="shared" si="1"/>
        <v/>
      </c>
      <c r="M34" s="20" t="s">
        <v>258</v>
      </c>
      <c r="N34" s="20"/>
      <c r="O34" s="20"/>
      <c r="P34" s="1"/>
      <c r="Q34" s="1"/>
      <c r="R34" s="17">
        <f>SUM(K34:Q34)</f>
        <v>0</v>
      </c>
      <c r="T34" s="14">
        <f>R34+J34</f>
        <v>135</v>
      </c>
      <c r="V34" s="28">
        <v>3</v>
      </c>
      <c r="W34" s="44">
        <v>45759</v>
      </c>
      <c r="X34" s="28">
        <v>-2075</v>
      </c>
      <c r="Y34" s="28">
        <v>6640</v>
      </c>
      <c r="Z34" s="28">
        <v>-2975</v>
      </c>
      <c r="AA34" s="28">
        <v>-1590</v>
      </c>
    </row>
    <row r="35" spans="2:37" x14ac:dyDescent="0.3">
      <c r="B35" s="67"/>
      <c r="C35" s="4" t="s">
        <v>280</v>
      </c>
      <c r="D35" s="18"/>
      <c r="E35" s="1">
        <v>1</v>
      </c>
      <c r="F35" s="1"/>
      <c r="G35" s="1"/>
      <c r="H35" s="1"/>
      <c r="I35" s="1"/>
      <c r="J35" s="19">
        <f>(D35*D$62)+(E35*E$62)+(F35*F$62)+(G35*G$62)+(H35*H$62)+(I35*I$62)</f>
        <v>100</v>
      </c>
      <c r="K35" s="15" t="str">
        <f t="shared" si="0"/>
        <v/>
      </c>
      <c r="L35" s="20" t="str">
        <f t="shared" si="1"/>
        <v/>
      </c>
      <c r="M35" s="20" t="s">
        <v>258</v>
      </c>
      <c r="N35" s="20"/>
      <c r="O35" s="20"/>
      <c r="P35" s="1"/>
      <c r="Q35" s="1"/>
      <c r="R35" s="17">
        <f>SUM(K35:Q35)</f>
        <v>0</v>
      </c>
      <c r="T35" s="14">
        <f>R35+J35</f>
        <v>100</v>
      </c>
      <c r="V35" s="28">
        <v>4</v>
      </c>
      <c r="W35" s="44">
        <v>45760</v>
      </c>
      <c r="X35" s="28">
        <v>-335</v>
      </c>
      <c r="Y35" s="28">
        <v>2435</v>
      </c>
      <c r="Z35" s="28">
        <v>-1575</v>
      </c>
      <c r="AA35" s="28">
        <v>-525</v>
      </c>
      <c r="AD35" s="50" t="s">
        <v>5</v>
      </c>
      <c r="AE35" s="50" t="s">
        <v>235</v>
      </c>
      <c r="AG35" s="47"/>
      <c r="AH35" s="47" t="s">
        <v>211</v>
      </c>
      <c r="AI35" s="48" t="s">
        <v>96</v>
      </c>
      <c r="AJ35" s="48" t="s">
        <v>97</v>
      </c>
      <c r="AK35" s="48" t="s">
        <v>98</v>
      </c>
    </row>
    <row r="36" spans="2:37" ht="15" thickBot="1" x14ac:dyDescent="0.35">
      <c r="B36" s="68"/>
      <c r="C36" s="21" t="s">
        <v>250</v>
      </c>
      <c r="D36" s="9">
        <v>1</v>
      </c>
      <c r="E36" s="10">
        <v>3</v>
      </c>
      <c r="F36" s="10"/>
      <c r="G36" s="10"/>
      <c r="H36" s="10"/>
      <c r="I36" s="10"/>
      <c r="J36" s="11">
        <f>(D36*D$62)+(E36*E$62)+(F36*F$62)+(G36*G$62)+(H36*H$62)+(I36*I$62)</f>
        <v>305</v>
      </c>
      <c r="K36" s="12" t="str">
        <f t="shared" si="0"/>
        <v/>
      </c>
      <c r="L36" s="12">
        <f t="shared" si="1"/>
        <v>150</v>
      </c>
      <c r="M36" s="12" t="s">
        <v>258</v>
      </c>
      <c r="N36" s="12"/>
      <c r="O36" s="12"/>
      <c r="P36" s="10"/>
      <c r="Q36" s="10"/>
      <c r="R36" s="13">
        <f>SUM(K36:Q36)</f>
        <v>150</v>
      </c>
      <c r="T36" s="22">
        <f>(R36+J36)</f>
        <v>455</v>
      </c>
      <c r="V36" s="28">
        <v>5</v>
      </c>
      <c r="W36" s="29">
        <v>45760</v>
      </c>
      <c r="X36" s="28">
        <v>-930</v>
      </c>
      <c r="Y36" s="28">
        <v>2395</v>
      </c>
      <c r="Z36" s="28">
        <v>-440</v>
      </c>
      <c r="AA36" s="28">
        <v>-1025</v>
      </c>
      <c r="AD36" s="28" t="s">
        <v>211</v>
      </c>
      <c r="AE36" s="28">
        <f>T37</f>
        <v>1440</v>
      </c>
      <c r="AG36" s="49" t="s">
        <v>165</v>
      </c>
      <c r="AH36" s="49">
        <v>-4745</v>
      </c>
      <c r="AI36" s="49">
        <v>2405</v>
      </c>
      <c r="AJ36" s="49">
        <v>10275</v>
      </c>
      <c r="AK36" s="49">
        <v>-7935</v>
      </c>
    </row>
    <row r="37" spans="2:37" ht="15" thickBot="1" x14ac:dyDescent="0.35">
      <c r="K37" s="2" t="s">
        <v>258</v>
      </c>
      <c r="L37" s="2" t="s">
        <v>258</v>
      </c>
      <c r="T37" s="51">
        <f>SUM(T32:T36)</f>
        <v>1440</v>
      </c>
      <c r="V37" s="28">
        <v>6</v>
      </c>
      <c r="W37" s="29">
        <v>45761</v>
      </c>
      <c r="X37" s="28">
        <v>-400</v>
      </c>
      <c r="Y37" s="28">
        <v>-400</v>
      </c>
      <c r="Z37" s="28">
        <v>-90</v>
      </c>
      <c r="AA37" s="28">
        <v>890</v>
      </c>
      <c r="AD37" s="28" t="s">
        <v>96</v>
      </c>
      <c r="AE37" s="28">
        <f>T43</f>
        <v>1105</v>
      </c>
      <c r="AG37" s="49" t="s">
        <v>210</v>
      </c>
      <c r="AH37" s="49">
        <v>-5315</v>
      </c>
      <c r="AI37" s="49">
        <v>-3535</v>
      </c>
      <c r="AJ37" s="49">
        <v>5950</v>
      </c>
      <c r="AK37" s="49">
        <v>2900</v>
      </c>
    </row>
    <row r="38" spans="2:37" x14ac:dyDescent="0.3">
      <c r="B38" s="66" t="s">
        <v>96</v>
      </c>
      <c r="C38" s="39" t="s">
        <v>136</v>
      </c>
      <c r="D38" s="23">
        <v>22</v>
      </c>
      <c r="E38" s="6"/>
      <c r="F38" s="6"/>
      <c r="G38" s="6"/>
      <c r="H38" s="6"/>
      <c r="I38" s="6"/>
      <c r="J38" s="7">
        <f>(D38*D$62)+(E38*E$62)+(F38*F$62)+(G38*G$62)+(H38*H$62)+(I38*I$62)</f>
        <v>110</v>
      </c>
      <c r="K38" s="23" t="str">
        <f t="shared" ref="K38:K42" si="2">IF(D38&gt;=100, 250, IF(D38&gt;=50, 150, IF(D38&gt;=30, 50, "")))</f>
        <v/>
      </c>
      <c r="L38" s="23" t="str">
        <f t="shared" ref="L38:L42" si="3">IF(E38=5, 200, IF(E38=3, 150, IF(E38=2, 50, "")))</f>
        <v/>
      </c>
      <c r="M38" s="23"/>
      <c r="N38" s="23"/>
      <c r="O38" s="23"/>
      <c r="P38" s="6"/>
      <c r="Q38" s="6"/>
      <c r="R38" s="24">
        <f>SUM(K38:Q38)</f>
        <v>0</v>
      </c>
      <c r="T38" s="33">
        <f>(R38+J38)*2</f>
        <v>220</v>
      </c>
      <c r="V38" s="28">
        <v>7</v>
      </c>
      <c r="W38" s="29">
        <v>45762</v>
      </c>
      <c r="X38" s="28">
        <f>-(Y38+Z38+AA38)</f>
        <v>1415</v>
      </c>
      <c r="Y38" s="28">
        <f>T43-T37</f>
        <v>-335</v>
      </c>
      <c r="Z38" s="28">
        <f>T49-T37</f>
        <v>-370</v>
      </c>
      <c r="AA38" s="28">
        <f>T55-T37</f>
        <v>-710</v>
      </c>
      <c r="AD38" s="28" t="s">
        <v>97</v>
      </c>
      <c r="AE38" s="28">
        <f>T49</f>
        <v>1070</v>
      </c>
      <c r="AG38" s="49" t="s">
        <v>236</v>
      </c>
      <c r="AH38" s="49">
        <v>14615</v>
      </c>
      <c r="AI38" s="49">
        <v>-7370</v>
      </c>
      <c r="AJ38" s="49">
        <v>-1095</v>
      </c>
      <c r="AK38" s="49">
        <v>-6150</v>
      </c>
    </row>
    <row r="39" spans="2:37" x14ac:dyDescent="0.3">
      <c r="B39" s="67"/>
      <c r="C39" s="19" t="s">
        <v>225</v>
      </c>
      <c r="D39" s="20">
        <v>10</v>
      </c>
      <c r="E39" s="1"/>
      <c r="F39" s="1"/>
      <c r="G39" s="1"/>
      <c r="H39" s="1"/>
      <c r="I39" s="1"/>
      <c r="J39" s="19">
        <f>(D39*D$62)+(E39*E$62)+(F39*F$62)+(G39*G$62)+(H39*H$62)+(I39*I$62)</f>
        <v>50</v>
      </c>
      <c r="K39" s="15" t="str">
        <f t="shared" si="2"/>
        <v/>
      </c>
      <c r="L39" s="20" t="str">
        <f t="shared" si="3"/>
        <v/>
      </c>
      <c r="M39" s="20"/>
      <c r="N39" s="20"/>
      <c r="O39" s="20"/>
      <c r="P39" s="1"/>
      <c r="Q39" s="1"/>
      <c r="R39" s="17">
        <f>SUM(K39:Q39)</f>
        <v>0</v>
      </c>
      <c r="T39" s="14">
        <f>R39+J39</f>
        <v>50</v>
      </c>
      <c r="V39" s="28">
        <v>8</v>
      </c>
      <c r="W39" s="29"/>
      <c r="X39" s="28"/>
      <c r="Y39" s="28"/>
      <c r="Z39" s="28"/>
      <c r="AA39" s="28"/>
      <c r="AD39" s="28" t="s">
        <v>98</v>
      </c>
      <c r="AE39" s="28">
        <f>T55</f>
        <v>730</v>
      </c>
      <c r="AG39" s="49" t="s">
        <v>272</v>
      </c>
      <c r="AH39" s="49">
        <f>X31</f>
        <v>1680</v>
      </c>
      <c r="AI39" s="49">
        <f>Y31</f>
        <v>11905</v>
      </c>
      <c r="AJ39" s="49">
        <f>Z31</f>
        <v>-8465</v>
      </c>
      <c r="AK39" s="49">
        <f>AA31</f>
        <v>-5120</v>
      </c>
    </row>
    <row r="40" spans="2:37" x14ac:dyDescent="0.3">
      <c r="B40" s="67"/>
      <c r="C40" s="19" t="s">
        <v>205</v>
      </c>
      <c r="D40" s="20">
        <v>37</v>
      </c>
      <c r="E40" s="1"/>
      <c r="F40" s="1"/>
      <c r="G40" s="1"/>
      <c r="H40" s="1"/>
      <c r="I40" s="1"/>
      <c r="J40" s="19">
        <f>(D40*D$62)+(E40*E$62)+(F40*F$62)+(G40*G$62)+(H40*H$62)+(I40*I$62)</f>
        <v>185</v>
      </c>
      <c r="K40" s="15">
        <f t="shared" si="2"/>
        <v>50</v>
      </c>
      <c r="L40" s="20" t="str">
        <f t="shared" si="3"/>
        <v/>
      </c>
      <c r="M40" s="20"/>
      <c r="N40" s="20"/>
      <c r="O40" s="20"/>
      <c r="P40" s="1"/>
      <c r="Q40" s="1"/>
      <c r="R40" s="17">
        <f>SUM(K40:Q40)</f>
        <v>50</v>
      </c>
      <c r="T40" s="14">
        <f>R40+J40</f>
        <v>235</v>
      </c>
      <c r="V40" s="28"/>
      <c r="W40" s="29"/>
      <c r="X40" s="28"/>
      <c r="Y40" s="28"/>
      <c r="Z40" s="28"/>
      <c r="AA40" s="28"/>
      <c r="AG40" s="49" t="s">
        <v>0</v>
      </c>
      <c r="AH40" s="49">
        <f>SUM(AH36:AH39)</f>
        <v>6235</v>
      </c>
      <c r="AI40" s="49">
        <f t="shared" ref="AI40:AK40" si="4">SUM(AI36:AI39)</f>
        <v>3405</v>
      </c>
      <c r="AJ40" s="49">
        <f t="shared" si="4"/>
        <v>6665</v>
      </c>
      <c r="AK40" s="49">
        <f t="shared" si="4"/>
        <v>-16305</v>
      </c>
    </row>
    <row r="41" spans="2:37" x14ac:dyDescent="0.3">
      <c r="B41" s="67"/>
      <c r="C41" s="19" t="s">
        <v>140</v>
      </c>
      <c r="D41" s="20">
        <v>3</v>
      </c>
      <c r="E41" s="1">
        <v>3</v>
      </c>
      <c r="F41" s="1"/>
      <c r="G41" s="1"/>
      <c r="H41" s="1"/>
      <c r="I41" s="1"/>
      <c r="J41" s="19">
        <f>(D41*D$62)+(E41*E$62)+(F41*F$62)+(G41*G$62)+(H41*H$62)+(I41*I$62)</f>
        <v>315</v>
      </c>
      <c r="K41" s="15" t="str">
        <f t="shared" si="2"/>
        <v/>
      </c>
      <c r="L41" s="20">
        <f t="shared" si="3"/>
        <v>150</v>
      </c>
      <c r="M41" s="20"/>
      <c r="N41" s="20"/>
      <c r="O41" s="20"/>
      <c r="P41" s="1"/>
      <c r="Q41" s="1"/>
      <c r="R41" s="17">
        <f>SUM(K41:Q41)</f>
        <v>150</v>
      </c>
      <c r="T41" s="14">
        <f>R41+J41</f>
        <v>465</v>
      </c>
      <c r="V41" s="28"/>
      <c r="W41" s="29"/>
      <c r="X41" s="28"/>
      <c r="Y41" s="28"/>
      <c r="Z41" s="28"/>
      <c r="AA41" s="28"/>
    </row>
    <row r="42" spans="2:37" ht="15" thickBot="1" x14ac:dyDescent="0.35">
      <c r="B42" s="68"/>
      <c r="C42" s="11" t="s">
        <v>50</v>
      </c>
      <c r="D42" s="12">
        <v>7</v>
      </c>
      <c r="E42" s="10"/>
      <c r="F42" s="10">
        <v>1</v>
      </c>
      <c r="G42" s="10"/>
      <c r="H42" s="10">
        <v>1</v>
      </c>
      <c r="I42" s="10"/>
      <c r="J42" s="11">
        <f>(D42*D$62)+(E42*E$62)+(F42*F$62)+(G42*G$62)+(H42*H$62)+(I42*I$62)</f>
        <v>135</v>
      </c>
      <c r="K42" s="12" t="str">
        <f t="shared" si="2"/>
        <v/>
      </c>
      <c r="L42" s="12" t="str">
        <f t="shared" si="3"/>
        <v/>
      </c>
      <c r="M42" s="12"/>
      <c r="N42" s="12"/>
      <c r="O42" s="12"/>
      <c r="P42" s="10"/>
      <c r="Q42" s="10"/>
      <c r="R42" s="13">
        <f>SUM(K42:Q42)</f>
        <v>0</v>
      </c>
      <c r="T42" s="34">
        <f>R42+J42</f>
        <v>135</v>
      </c>
      <c r="V42" s="28"/>
      <c r="W42" s="29"/>
      <c r="X42" s="28"/>
      <c r="Y42" s="28"/>
      <c r="Z42" s="28"/>
      <c r="AA42" s="28"/>
    </row>
    <row r="43" spans="2:37" ht="15" thickBot="1" x14ac:dyDescent="0.35">
      <c r="K43" s="2" t="s">
        <v>258</v>
      </c>
      <c r="L43" s="2" t="s">
        <v>258</v>
      </c>
      <c r="T43" s="51">
        <f>SUM(T38:T42)</f>
        <v>1105</v>
      </c>
      <c r="V43" s="28"/>
      <c r="W43" s="29"/>
      <c r="X43" s="28"/>
      <c r="Y43" s="28"/>
      <c r="Z43" s="28"/>
      <c r="AA43" s="28"/>
    </row>
    <row r="44" spans="2:37" x14ac:dyDescent="0.3">
      <c r="B44" s="66" t="s">
        <v>97</v>
      </c>
      <c r="C44" s="39" t="s">
        <v>76</v>
      </c>
      <c r="D44" s="23">
        <v>2</v>
      </c>
      <c r="E44" s="6"/>
      <c r="F44" s="6"/>
      <c r="G44" s="6"/>
      <c r="H44" s="6">
        <v>1</v>
      </c>
      <c r="I44" s="6"/>
      <c r="J44" s="7">
        <f>(D44*D$62)+(E44*E$62)+(F44*F$62)+(G44*G$62)+(H44*H$62)+(I44*I$62)</f>
        <v>60</v>
      </c>
      <c r="K44" s="23" t="str">
        <f t="shared" ref="K44:K48" si="5">IF(D44&gt;=100, 250, IF(D44&gt;=50, 150, IF(D44&gt;=30, 50, "")))</f>
        <v/>
      </c>
      <c r="L44" s="23" t="str">
        <f t="shared" ref="L44:L48" si="6">IF(E44=5, 200, IF(E44=3, 150, IF(E44=2, 50, "")))</f>
        <v/>
      </c>
      <c r="M44" s="23"/>
      <c r="N44" s="23"/>
      <c r="O44" s="23"/>
      <c r="P44" s="6"/>
      <c r="Q44" s="6"/>
      <c r="R44" s="24">
        <f>SUM(K44:Q44)</f>
        <v>0</v>
      </c>
      <c r="T44" s="33">
        <f>(R44+J44)*2</f>
        <v>120</v>
      </c>
      <c r="V44" s="28"/>
      <c r="W44" s="29"/>
      <c r="X44" s="28"/>
      <c r="Y44" s="28"/>
      <c r="Z44" s="28"/>
      <c r="AA44" s="28"/>
    </row>
    <row r="45" spans="2:37" x14ac:dyDescent="0.3">
      <c r="B45" s="67"/>
      <c r="C45" s="19" t="s">
        <v>278</v>
      </c>
      <c r="D45" s="20">
        <v>2</v>
      </c>
      <c r="E45" s="1"/>
      <c r="F45" s="1"/>
      <c r="G45" s="1">
        <v>1</v>
      </c>
      <c r="H45" s="1">
        <v>1</v>
      </c>
      <c r="I45" s="1"/>
      <c r="J45" s="19">
        <f>(D45*D$62)+(E45*E$62)+(F45*F$62)+(G45*G$62)+(H45*H$62)+(I45*I$62)</f>
        <v>110</v>
      </c>
      <c r="K45" s="15" t="str">
        <f t="shared" si="5"/>
        <v/>
      </c>
      <c r="L45" s="20" t="str">
        <f t="shared" si="6"/>
        <v/>
      </c>
      <c r="M45" s="20"/>
      <c r="N45" s="20"/>
      <c r="O45" s="20"/>
      <c r="P45" s="1"/>
      <c r="Q45" s="1"/>
      <c r="R45" s="17">
        <f>SUM(K45:Q45)</f>
        <v>0</v>
      </c>
      <c r="T45" s="14">
        <f>R45+J45</f>
        <v>110</v>
      </c>
      <c r="V45" s="28"/>
      <c r="W45" s="29"/>
      <c r="X45" s="28"/>
      <c r="Y45" s="28"/>
      <c r="Z45" s="28"/>
      <c r="AA45" s="28"/>
    </row>
    <row r="46" spans="2:37" x14ac:dyDescent="0.3">
      <c r="B46" s="67"/>
      <c r="C46" s="19" t="s">
        <v>64</v>
      </c>
      <c r="D46" s="20">
        <v>17</v>
      </c>
      <c r="E46" s="1"/>
      <c r="F46" s="1"/>
      <c r="G46" s="1"/>
      <c r="H46" s="1"/>
      <c r="I46" s="1"/>
      <c r="J46" s="19">
        <f>(D46*D$62)+(E46*E$62)+(F46*F$62)+(G46*G$62)+(H46*H$62)+(I46*I$62)</f>
        <v>85</v>
      </c>
      <c r="K46" s="15" t="str">
        <f t="shared" si="5"/>
        <v/>
      </c>
      <c r="L46" s="20" t="str">
        <f t="shared" si="6"/>
        <v/>
      </c>
      <c r="M46" s="20"/>
      <c r="N46" s="20"/>
      <c r="O46" s="20"/>
      <c r="P46" s="1"/>
      <c r="Q46" s="1"/>
      <c r="R46" s="17">
        <f>SUM(K46:Q46)</f>
        <v>0</v>
      </c>
      <c r="T46" s="14">
        <f>R46+J46</f>
        <v>85</v>
      </c>
      <c r="V46" s="28"/>
      <c r="W46" s="29"/>
      <c r="X46" s="28"/>
      <c r="Y46" s="28"/>
      <c r="Z46" s="28"/>
      <c r="AA46" s="28"/>
    </row>
    <row r="47" spans="2:37" x14ac:dyDescent="0.3">
      <c r="B47" s="67"/>
      <c r="C47" s="19" t="s">
        <v>127</v>
      </c>
      <c r="D47" s="20"/>
      <c r="E47" s="1">
        <v>4</v>
      </c>
      <c r="F47" s="1"/>
      <c r="G47" s="1"/>
      <c r="H47" s="1"/>
      <c r="I47" s="1"/>
      <c r="J47" s="19">
        <f>(D47*D$62)+(E47*E$62)+(F47*F$62)+(G47*G$62)+(H47*H$62)+(I47*I$62)</f>
        <v>400</v>
      </c>
      <c r="K47" s="15" t="str">
        <f t="shared" si="5"/>
        <v/>
      </c>
      <c r="L47" s="20">
        <v>150</v>
      </c>
      <c r="M47" s="20"/>
      <c r="N47" s="20"/>
      <c r="O47" s="20"/>
      <c r="P47" s="1"/>
      <c r="Q47" s="1"/>
      <c r="R47" s="17">
        <f>SUM(K47:Q47)</f>
        <v>150</v>
      </c>
      <c r="T47" s="14">
        <f>R47+J47</f>
        <v>550</v>
      </c>
      <c r="V47" s="28"/>
      <c r="W47" s="29"/>
      <c r="X47" s="28"/>
      <c r="Y47" s="28"/>
      <c r="Z47" s="28"/>
      <c r="AA47" s="28"/>
    </row>
    <row r="48" spans="2:37" ht="15" thickBot="1" x14ac:dyDescent="0.35">
      <c r="B48" s="68"/>
      <c r="C48" s="11" t="s">
        <v>279</v>
      </c>
      <c r="D48" s="12">
        <v>11</v>
      </c>
      <c r="E48" s="10">
        <v>1</v>
      </c>
      <c r="F48" s="10"/>
      <c r="G48" s="10"/>
      <c r="H48" s="10">
        <v>1</v>
      </c>
      <c r="I48" s="10"/>
      <c r="J48" s="11">
        <f>(D48*D$62)+(E48*E$62)+(F48*F$62)+(G48*G$62)+(H48*H$62)+(I48*I$62)</f>
        <v>205</v>
      </c>
      <c r="K48" s="12" t="str">
        <f t="shared" si="5"/>
        <v/>
      </c>
      <c r="L48" s="12" t="str">
        <f t="shared" si="6"/>
        <v/>
      </c>
      <c r="M48" s="12"/>
      <c r="N48" s="12"/>
      <c r="O48" s="12"/>
      <c r="P48" s="10"/>
      <c r="Q48" s="10"/>
      <c r="R48" s="13">
        <f>SUM(K48:Q48)</f>
        <v>0</v>
      </c>
      <c r="T48" s="34">
        <f>R48+J48</f>
        <v>205</v>
      </c>
      <c r="V48" s="28"/>
      <c r="W48" s="29"/>
      <c r="X48" s="28"/>
      <c r="Y48" s="28"/>
      <c r="Z48" s="28"/>
      <c r="AA48" s="28"/>
    </row>
    <row r="49" spans="2:27" ht="15" thickBot="1" x14ac:dyDescent="0.35">
      <c r="K49" s="2" t="s">
        <v>258</v>
      </c>
      <c r="L49" s="2" t="s">
        <v>258</v>
      </c>
      <c r="T49" s="51">
        <f>SUM(T44:T48)</f>
        <v>1070</v>
      </c>
      <c r="V49" s="28"/>
      <c r="W49" s="29"/>
      <c r="X49" s="28"/>
      <c r="Y49" s="28"/>
      <c r="Z49" s="28"/>
      <c r="AA49" s="28"/>
    </row>
    <row r="50" spans="2:27" x14ac:dyDescent="0.3">
      <c r="B50" s="66" t="s">
        <v>98</v>
      </c>
      <c r="C50" s="39" t="s">
        <v>224</v>
      </c>
      <c r="D50" s="23">
        <v>0</v>
      </c>
      <c r="E50" s="6"/>
      <c r="F50" s="6"/>
      <c r="G50" s="6"/>
      <c r="H50" s="6">
        <v>1</v>
      </c>
      <c r="I50" s="6">
        <v>1</v>
      </c>
      <c r="J50" s="7">
        <f>(D50*D$62)+(E50*E$62)+(F50*F$62)+(G50*G$62)+(H50*H$62)+(I50*I$62)</f>
        <v>0</v>
      </c>
      <c r="K50" s="23" t="str">
        <f t="shared" ref="K50:K54" si="7">IF(D50&gt;=100, 250, IF(D50&gt;=50, 150, IF(D50&gt;=30, 50, "")))</f>
        <v/>
      </c>
      <c r="L50" s="23" t="str">
        <f t="shared" ref="L50:L54" si="8">IF(E50=5, 200, IF(E50=3, 150, IF(E50=2, 50, "")))</f>
        <v/>
      </c>
      <c r="M50" s="23"/>
      <c r="N50" s="23"/>
      <c r="O50" s="23"/>
      <c r="P50" s="6"/>
      <c r="Q50" s="6"/>
      <c r="R50" s="24">
        <f>SUM(K50:Q50)</f>
        <v>0</v>
      </c>
      <c r="T50" s="33">
        <f>(R50+J50)*2</f>
        <v>0</v>
      </c>
      <c r="V50" s="28"/>
      <c r="W50" s="29"/>
      <c r="X50" s="28"/>
      <c r="Y50" s="28"/>
      <c r="Z50" s="28"/>
      <c r="AA50" s="28"/>
    </row>
    <row r="51" spans="2:27" x14ac:dyDescent="0.3">
      <c r="B51" s="67"/>
      <c r="C51" s="19" t="s">
        <v>25</v>
      </c>
      <c r="D51" s="20">
        <v>17</v>
      </c>
      <c r="E51" s="1"/>
      <c r="F51" s="1"/>
      <c r="G51" s="1"/>
      <c r="H51" s="1"/>
      <c r="I51" s="1"/>
      <c r="J51" s="19">
        <f>(D51*D$62)+(E51*E$62)+(F51*F$62)+(G51*G$62)+(H51*H$62)+(I51*I$62)</f>
        <v>85</v>
      </c>
      <c r="K51" s="15" t="str">
        <f t="shared" si="7"/>
        <v/>
      </c>
      <c r="L51" s="20" t="str">
        <f t="shared" si="8"/>
        <v/>
      </c>
      <c r="M51" s="20"/>
      <c r="N51" s="20"/>
      <c r="O51" s="20"/>
      <c r="P51" s="1"/>
      <c r="Q51" s="1"/>
      <c r="R51" s="17">
        <f>SUM(K51:Q51)</f>
        <v>0</v>
      </c>
      <c r="T51" s="14">
        <f>R51+J51</f>
        <v>85</v>
      </c>
      <c r="V51" s="28"/>
      <c r="W51" s="29"/>
      <c r="X51" s="28"/>
      <c r="Y51" s="28"/>
      <c r="Z51" s="28"/>
      <c r="AA51" s="28"/>
    </row>
    <row r="52" spans="2:27" x14ac:dyDescent="0.3">
      <c r="B52" s="67"/>
      <c r="C52" s="19" t="s">
        <v>190</v>
      </c>
      <c r="D52" s="20"/>
      <c r="E52" s="1">
        <v>2</v>
      </c>
      <c r="F52" s="1"/>
      <c r="G52" s="1"/>
      <c r="H52" s="1"/>
      <c r="I52" s="1"/>
      <c r="J52" s="19">
        <f>(D52*D$62)+(E52*E$62)+(F52*F$62)+(G52*G$62)+(H52*H$62)+(I52*I$62)</f>
        <v>200</v>
      </c>
      <c r="K52" s="15" t="str">
        <f t="shared" si="7"/>
        <v/>
      </c>
      <c r="L52" s="20">
        <f t="shared" si="8"/>
        <v>50</v>
      </c>
      <c r="M52" s="20" t="s">
        <v>258</v>
      </c>
      <c r="N52" s="20"/>
      <c r="O52" s="20"/>
      <c r="P52" s="1"/>
      <c r="Q52" s="1"/>
      <c r="R52" s="17">
        <f>SUM(K52:Q52)</f>
        <v>50</v>
      </c>
      <c r="T52" s="14">
        <f>R52+J52</f>
        <v>250</v>
      </c>
      <c r="V52" s="28"/>
      <c r="W52" s="29"/>
      <c r="X52" s="28"/>
      <c r="Y52" s="28"/>
      <c r="Z52" s="28"/>
      <c r="AA52" s="28"/>
    </row>
    <row r="53" spans="2:27" x14ac:dyDescent="0.3">
      <c r="B53" s="67"/>
      <c r="C53" s="19" t="s">
        <v>131</v>
      </c>
      <c r="D53" s="20">
        <v>1</v>
      </c>
      <c r="E53" s="1">
        <v>1</v>
      </c>
      <c r="F53" s="1"/>
      <c r="G53" s="1"/>
      <c r="H53" s="1"/>
      <c r="I53" s="1"/>
      <c r="J53" s="19">
        <f>(D53*D$62)+(E53*E$62)+(F53*F$62)+(G53*G$62)+(H53*H$62)+(I53*I$62)</f>
        <v>105</v>
      </c>
      <c r="K53" s="15" t="str">
        <f t="shared" si="7"/>
        <v/>
      </c>
      <c r="L53" s="20" t="str">
        <f t="shared" si="8"/>
        <v/>
      </c>
      <c r="M53" s="20" t="s">
        <v>258</v>
      </c>
      <c r="N53" s="20"/>
      <c r="O53" s="20"/>
      <c r="P53" s="1"/>
      <c r="Q53" s="1">
        <v>200</v>
      </c>
      <c r="R53" s="17">
        <f>SUM(K53:Q53)</f>
        <v>200</v>
      </c>
      <c r="T53" s="14">
        <f>R53+J53</f>
        <v>305</v>
      </c>
      <c r="V53" s="28"/>
      <c r="W53" s="29"/>
      <c r="X53" s="28"/>
      <c r="Y53" s="28"/>
      <c r="Z53" s="28"/>
      <c r="AA53" s="28"/>
    </row>
    <row r="54" spans="2:27" ht="15" thickBot="1" x14ac:dyDescent="0.35">
      <c r="B54" s="68"/>
      <c r="C54" s="11" t="s">
        <v>277</v>
      </c>
      <c r="D54" s="12">
        <v>18</v>
      </c>
      <c r="E54" s="10"/>
      <c r="F54" s="10"/>
      <c r="G54" s="10"/>
      <c r="H54" s="10"/>
      <c r="I54" s="10"/>
      <c r="J54" s="11">
        <f>(D54*D$62)+(E54*E$62)+(F54*F$62)+(G54*G$62)+(H54*H$62)+(I54*I$62)</f>
        <v>90</v>
      </c>
      <c r="K54" s="12" t="str">
        <f t="shared" si="7"/>
        <v/>
      </c>
      <c r="L54" s="12" t="str">
        <f t="shared" si="8"/>
        <v/>
      </c>
      <c r="M54" s="12" t="s">
        <v>258</v>
      </c>
      <c r="N54" s="12"/>
      <c r="O54" s="12"/>
      <c r="P54" s="10"/>
      <c r="Q54" s="10"/>
      <c r="R54" s="13">
        <f>SUM(K54:Q54)</f>
        <v>0</v>
      </c>
      <c r="T54" s="34">
        <f>R54+J54</f>
        <v>90</v>
      </c>
      <c r="V54" s="28"/>
      <c r="W54" s="29"/>
      <c r="X54" s="28"/>
      <c r="Y54" s="28"/>
      <c r="Z54" s="28"/>
      <c r="AA54" s="28"/>
    </row>
    <row r="55" spans="2:27" ht="15" thickBot="1" x14ac:dyDescent="0.35">
      <c r="T55" s="51">
        <f>SUM(T50:T54)</f>
        <v>730</v>
      </c>
      <c r="V55" s="28"/>
      <c r="W55" s="29"/>
      <c r="X55" s="28"/>
      <c r="Y55" s="28"/>
      <c r="Z55" s="28"/>
      <c r="AA55" s="28"/>
    </row>
    <row r="57" spans="2:27" x14ac:dyDescent="0.3">
      <c r="W57" s="40"/>
    </row>
    <row r="58" spans="2:27" x14ac:dyDescent="0.3">
      <c r="W58" s="40"/>
    </row>
    <row r="59" spans="2:27" x14ac:dyDescent="0.3">
      <c r="W59" s="40"/>
    </row>
    <row r="60" spans="2:27" x14ac:dyDescent="0.3">
      <c r="W60" s="40"/>
    </row>
    <row r="61" spans="2:27" ht="15" thickBot="1" x14ac:dyDescent="0.35">
      <c r="W61" s="40"/>
    </row>
    <row r="62" spans="2:27" ht="27.6" x14ac:dyDescent="0.3">
      <c r="B62" s="5"/>
      <c r="C62" s="7"/>
      <c r="D62" s="5">
        <v>5</v>
      </c>
      <c r="E62" s="6">
        <v>100</v>
      </c>
      <c r="F62" s="6">
        <v>50</v>
      </c>
      <c r="G62" s="6">
        <v>50</v>
      </c>
      <c r="H62" s="6">
        <v>50</v>
      </c>
      <c r="I62" s="6">
        <v>-50</v>
      </c>
      <c r="J62" s="30"/>
      <c r="K62" s="5" t="s">
        <v>1</v>
      </c>
      <c r="L62" s="31" t="s">
        <v>10</v>
      </c>
      <c r="M62" s="31" t="s">
        <v>14</v>
      </c>
      <c r="N62" s="31" t="s">
        <v>15</v>
      </c>
      <c r="O62" s="6" t="s">
        <v>8</v>
      </c>
      <c r="P62" s="32" t="s">
        <v>9</v>
      </c>
      <c r="Q62" s="6" t="s">
        <v>13</v>
      </c>
      <c r="R62" s="7"/>
      <c r="S62" s="2"/>
      <c r="T62" s="8" t="s">
        <v>0</v>
      </c>
      <c r="V62" s="35" t="s">
        <v>12</v>
      </c>
      <c r="W62" s="35" t="s">
        <v>4</v>
      </c>
      <c r="X62" s="36" t="s">
        <v>95</v>
      </c>
      <c r="Y62" s="35" t="s">
        <v>96</v>
      </c>
      <c r="Z62" s="35" t="s">
        <v>97</v>
      </c>
      <c r="AA62" s="35" t="s">
        <v>98</v>
      </c>
    </row>
    <row r="63" spans="2:27" ht="42" thickBot="1" x14ac:dyDescent="0.35">
      <c r="B63" s="9" t="s">
        <v>5</v>
      </c>
      <c r="C63" s="11" t="s">
        <v>6</v>
      </c>
      <c r="D63" s="9" t="s">
        <v>1</v>
      </c>
      <c r="E63" s="10" t="s">
        <v>10</v>
      </c>
      <c r="F63" s="10" t="s">
        <v>11</v>
      </c>
      <c r="G63" s="10" t="s">
        <v>17</v>
      </c>
      <c r="H63" s="10" t="s">
        <v>2</v>
      </c>
      <c r="I63" s="10" t="s">
        <v>7</v>
      </c>
      <c r="J63" s="21" t="s">
        <v>0</v>
      </c>
      <c r="K63" s="25" t="s">
        <v>90</v>
      </c>
      <c r="L63" s="26" t="s">
        <v>91</v>
      </c>
      <c r="M63" s="26" t="s">
        <v>92</v>
      </c>
      <c r="N63" s="26" t="s">
        <v>33</v>
      </c>
      <c r="O63" s="27" t="s">
        <v>93</v>
      </c>
      <c r="P63" s="26" t="s">
        <v>94</v>
      </c>
      <c r="Q63" s="27">
        <v>200</v>
      </c>
      <c r="R63" s="13" t="s">
        <v>0</v>
      </c>
      <c r="T63" s="14"/>
      <c r="V63" s="41"/>
      <c r="W63" s="42" t="s">
        <v>0</v>
      </c>
      <c r="X63" s="42">
        <f>SUM(X64:X71)</f>
        <v>665</v>
      </c>
      <c r="Y63" s="42">
        <f>SUM(Y64:Y71)</f>
        <v>12640</v>
      </c>
      <c r="Z63" s="42">
        <f>SUM(Z64:Z71)</f>
        <v>-8005</v>
      </c>
      <c r="AA63" s="42">
        <f>SUM(AA64:AA71)</f>
        <v>-5300</v>
      </c>
    </row>
    <row r="64" spans="2:27" x14ac:dyDescent="0.3">
      <c r="B64" s="66" t="s">
        <v>211</v>
      </c>
      <c r="C64" s="38" t="s">
        <v>114</v>
      </c>
      <c r="D64" s="5">
        <v>1</v>
      </c>
      <c r="E64" s="6"/>
      <c r="F64" s="6">
        <v>1</v>
      </c>
      <c r="G64" s="6"/>
      <c r="H64" s="6">
        <v>1</v>
      </c>
      <c r="I64" s="6"/>
      <c r="J64" s="7">
        <f>(D64*D$62)+(E64*E$62)+(F64*F$62)+(G64*G$62)+(H64*H$62)+(I64*I$62)</f>
        <v>105</v>
      </c>
      <c r="K64" s="15" t="s">
        <v>258</v>
      </c>
      <c r="L64" s="15" t="s">
        <v>258</v>
      </c>
      <c r="M64" s="15" t="s">
        <v>258</v>
      </c>
      <c r="N64" s="15"/>
      <c r="O64" s="15"/>
      <c r="P64" s="16"/>
      <c r="Q64" s="16"/>
      <c r="R64" s="17">
        <f>SUM(K64:Q64)</f>
        <v>0</v>
      </c>
      <c r="T64" s="14">
        <f>(R64+J64)*2</f>
        <v>210</v>
      </c>
      <c r="V64" s="28">
        <v>1</v>
      </c>
      <c r="W64" s="29">
        <v>45758</v>
      </c>
      <c r="X64" s="28">
        <v>4670</v>
      </c>
      <c r="Y64" s="28">
        <v>-1680</v>
      </c>
      <c r="Z64" s="28">
        <v>-1540</v>
      </c>
      <c r="AA64" s="28">
        <v>-1450</v>
      </c>
    </row>
    <row r="65" spans="2:27" x14ac:dyDescent="0.3">
      <c r="B65" s="67"/>
      <c r="C65" s="4" t="s">
        <v>71</v>
      </c>
      <c r="D65" s="18">
        <v>33</v>
      </c>
      <c r="E65" s="1"/>
      <c r="F65" s="1"/>
      <c r="G65" s="1"/>
      <c r="H65" s="1">
        <v>1</v>
      </c>
      <c r="I65" s="1"/>
      <c r="J65" s="19">
        <f>(D65*D$62)+(E65*E$62)+(F65*F$62)+(G65*G$62)+(H65*H$62)+(I65*I$62)</f>
        <v>215</v>
      </c>
      <c r="K65" s="20">
        <v>50</v>
      </c>
      <c r="L65" s="20" t="s">
        <v>258</v>
      </c>
      <c r="M65" s="20" t="s">
        <v>258</v>
      </c>
      <c r="N65" s="20"/>
      <c r="O65" s="20"/>
      <c r="P65" s="1"/>
      <c r="Q65" s="1"/>
      <c r="R65" s="17">
        <f>SUM(K65:Q65)</f>
        <v>50</v>
      </c>
      <c r="T65" s="14">
        <f>R65+J65</f>
        <v>265</v>
      </c>
      <c r="V65" s="28">
        <v>2</v>
      </c>
      <c r="W65" s="29">
        <v>45759</v>
      </c>
      <c r="X65" s="45">
        <v>-665</v>
      </c>
      <c r="Y65" s="45">
        <v>2850</v>
      </c>
      <c r="Z65" s="45">
        <v>-1475</v>
      </c>
      <c r="AA65" s="45">
        <v>-710</v>
      </c>
    </row>
    <row r="66" spans="2:27" x14ac:dyDescent="0.3">
      <c r="B66" s="67"/>
      <c r="C66" s="4" t="s">
        <v>51</v>
      </c>
      <c r="D66" s="18"/>
      <c r="E66" s="1"/>
      <c r="F66" s="1"/>
      <c r="G66" s="1"/>
      <c r="H66" s="1"/>
      <c r="I66" s="1"/>
      <c r="J66" s="19">
        <f>(D66*D$62)+(E66*E$62)+(F66*F$62)+(G66*G$62)+(H66*H$62)+(I66*I$62)</f>
        <v>0</v>
      </c>
      <c r="K66" s="20" t="s">
        <v>258</v>
      </c>
      <c r="L66" s="20" t="s">
        <v>258</v>
      </c>
      <c r="M66" s="20" t="s">
        <v>258</v>
      </c>
      <c r="N66" s="20"/>
      <c r="O66" s="20"/>
      <c r="P66" s="1"/>
      <c r="Q66" s="1"/>
      <c r="R66" s="17">
        <f>SUM(K66:Q66)</f>
        <v>0</v>
      </c>
      <c r="T66" s="14">
        <f>R66+J66</f>
        <v>0</v>
      </c>
      <c r="V66" s="28">
        <v>3</v>
      </c>
      <c r="W66" s="44">
        <v>45759</v>
      </c>
      <c r="X66" s="28">
        <v>-2075</v>
      </c>
      <c r="Y66" s="28">
        <v>6640</v>
      </c>
      <c r="Z66" s="28">
        <v>-2975</v>
      </c>
      <c r="AA66" s="28">
        <v>-1590</v>
      </c>
    </row>
    <row r="67" spans="2:27" x14ac:dyDescent="0.3">
      <c r="B67" s="67"/>
      <c r="C67" s="4" t="s">
        <v>45</v>
      </c>
      <c r="D67" s="18">
        <v>1</v>
      </c>
      <c r="E67" s="1"/>
      <c r="F67" s="1"/>
      <c r="G67" s="1"/>
      <c r="H67" s="1">
        <v>1</v>
      </c>
      <c r="I67" s="1"/>
      <c r="J67" s="19">
        <f>(D67*D$62)+(E67*E$62)+(F67*F$62)+(G67*G$62)+(H67*H$62)+(I67*I$62)</f>
        <v>55</v>
      </c>
      <c r="K67" s="20" t="s">
        <v>258</v>
      </c>
      <c r="L67" s="20" t="s">
        <v>258</v>
      </c>
      <c r="M67" s="20" t="s">
        <v>258</v>
      </c>
      <c r="N67" s="20"/>
      <c r="O67" s="20"/>
      <c r="P67" s="1"/>
      <c r="Q67" s="1"/>
      <c r="R67" s="17">
        <f>SUM(K67:Q67)</f>
        <v>0</v>
      </c>
      <c r="T67" s="14">
        <f>R67+J67</f>
        <v>55</v>
      </c>
      <c r="V67" s="28">
        <v>4</v>
      </c>
      <c r="W67" s="44">
        <v>45760</v>
      </c>
      <c r="X67" s="28">
        <v>-335</v>
      </c>
      <c r="Y67" s="28">
        <v>2435</v>
      </c>
      <c r="Z67" s="28">
        <v>-1575</v>
      </c>
      <c r="AA67" s="28">
        <v>-525</v>
      </c>
    </row>
    <row r="68" spans="2:27" ht="15" thickBot="1" x14ac:dyDescent="0.35">
      <c r="B68" s="68"/>
      <c r="C68" s="21" t="s">
        <v>58</v>
      </c>
      <c r="D68" s="9">
        <v>0</v>
      </c>
      <c r="E68" s="10"/>
      <c r="F68" s="10"/>
      <c r="G68" s="10"/>
      <c r="H68" s="10"/>
      <c r="I68" s="10">
        <v>1</v>
      </c>
      <c r="J68" s="11">
        <f>(D68*D$62)+(E68*E$62)+(F68*F$62)+(G68*G$62)+(H68*H$62)+(I68*I$62)</f>
        <v>-50</v>
      </c>
      <c r="K68" s="12" t="s">
        <v>258</v>
      </c>
      <c r="L68" s="12" t="s">
        <v>258</v>
      </c>
      <c r="M68" s="12" t="s">
        <v>258</v>
      </c>
      <c r="N68" s="12"/>
      <c r="O68" s="12"/>
      <c r="P68" s="10"/>
      <c r="Q68" s="10"/>
      <c r="R68" s="13">
        <f>SUM(K68:Q68)</f>
        <v>0</v>
      </c>
      <c r="T68" s="22">
        <f>(R68+J68)</f>
        <v>-50</v>
      </c>
      <c r="V68" s="28">
        <v>5</v>
      </c>
      <c r="W68" s="29">
        <v>45760</v>
      </c>
      <c r="X68" s="28">
        <v>-930</v>
      </c>
      <c r="Y68" s="28">
        <v>2395</v>
      </c>
      <c r="Z68" s="28">
        <v>-440</v>
      </c>
      <c r="AA68" s="28">
        <v>-1025</v>
      </c>
    </row>
    <row r="69" spans="2:27" ht="15" thickBot="1" x14ac:dyDescent="0.35">
      <c r="K69" s="2" t="s">
        <v>258</v>
      </c>
      <c r="L69" s="2" t="s">
        <v>258</v>
      </c>
      <c r="T69" s="37">
        <f>SUM(T64:T68)</f>
        <v>480</v>
      </c>
      <c r="V69" s="28">
        <v>6</v>
      </c>
      <c r="W69" s="29"/>
      <c r="X69" s="28"/>
      <c r="Y69" s="28"/>
      <c r="Z69" s="28"/>
      <c r="AA69" s="28"/>
    </row>
    <row r="70" spans="2:27" x14ac:dyDescent="0.3">
      <c r="B70" s="66" t="s">
        <v>96</v>
      </c>
      <c r="C70" s="39" t="s">
        <v>271</v>
      </c>
      <c r="D70" s="23">
        <v>41</v>
      </c>
      <c r="E70" s="6"/>
      <c r="F70" s="6">
        <v>2</v>
      </c>
      <c r="G70" s="6">
        <v>1</v>
      </c>
      <c r="H70" s="6"/>
      <c r="I70" s="6"/>
      <c r="J70" s="7">
        <f>(D70*D$62)+(E70*E$62)+(F70*F$62)+(G70*G$62)+(H70*H$62)+(I70*I$62)</f>
        <v>355</v>
      </c>
      <c r="K70" s="23">
        <v>50</v>
      </c>
      <c r="L70" s="23" t="s">
        <v>258</v>
      </c>
      <c r="M70" s="23"/>
      <c r="N70" s="23"/>
      <c r="O70" s="23"/>
      <c r="P70" s="6"/>
      <c r="Q70" s="6"/>
      <c r="R70" s="24">
        <f>SUM(K70:Q70)</f>
        <v>50</v>
      </c>
      <c r="T70" s="33">
        <f>(R70+J70)*2</f>
        <v>810</v>
      </c>
      <c r="V70" s="28">
        <v>7</v>
      </c>
      <c r="W70" s="29"/>
      <c r="X70" s="28"/>
      <c r="Y70" s="28"/>
      <c r="Z70" s="28"/>
      <c r="AA70" s="28"/>
    </row>
    <row r="71" spans="2:27" x14ac:dyDescent="0.3">
      <c r="B71" s="67"/>
      <c r="C71" s="19" t="s">
        <v>166</v>
      </c>
      <c r="D71" s="20">
        <v>2</v>
      </c>
      <c r="E71" s="1"/>
      <c r="F71" s="1"/>
      <c r="G71" s="1"/>
      <c r="H71" s="1"/>
      <c r="I71" s="1"/>
      <c r="J71" s="19">
        <f>(D71*D$62)+(E71*E$62)+(F71*F$62)+(G71*G$62)+(H71*H$62)+(I71*I$62)</f>
        <v>10</v>
      </c>
      <c r="K71" s="20" t="s">
        <v>258</v>
      </c>
      <c r="L71" s="20" t="s">
        <v>258</v>
      </c>
      <c r="M71" s="20"/>
      <c r="N71" s="20"/>
      <c r="O71" s="20"/>
      <c r="P71" s="1"/>
      <c r="Q71" s="1"/>
      <c r="R71" s="17">
        <f>SUM(K71:Q71)</f>
        <v>0</v>
      </c>
      <c r="T71" s="14">
        <f>R71+J71</f>
        <v>10</v>
      </c>
      <c r="V71" s="28">
        <v>8</v>
      </c>
      <c r="W71" s="29"/>
      <c r="X71" s="28"/>
      <c r="Y71" s="28"/>
      <c r="Z71" s="28"/>
      <c r="AA71" s="28"/>
    </row>
    <row r="72" spans="2:27" x14ac:dyDescent="0.3">
      <c r="B72" s="67"/>
      <c r="C72" s="19" t="s">
        <v>44</v>
      </c>
      <c r="D72" s="20">
        <v>9</v>
      </c>
      <c r="E72" s="1"/>
      <c r="F72" s="1"/>
      <c r="G72" s="1"/>
      <c r="H72" s="1"/>
      <c r="I72" s="1"/>
      <c r="J72" s="19">
        <f>(D72*D$62)+(E72*E$62)+(F72*F$62)+(G72*G$62)+(H72*H$62)+(I72*I$62)</f>
        <v>45</v>
      </c>
      <c r="K72" s="20" t="s">
        <v>258</v>
      </c>
      <c r="L72" s="20" t="s">
        <v>258</v>
      </c>
      <c r="M72" s="20"/>
      <c r="N72" s="20"/>
      <c r="O72" s="20"/>
      <c r="P72" s="1"/>
      <c r="Q72" s="1"/>
      <c r="R72" s="17">
        <f>SUM(K72:Q72)</f>
        <v>0</v>
      </c>
      <c r="T72" s="14">
        <f>R72+J72</f>
        <v>45</v>
      </c>
      <c r="V72" s="28"/>
      <c r="W72" s="29"/>
      <c r="X72" s="28"/>
      <c r="Y72" s="28"/>
      <c r="Z72" s="28"/>
      <c r="AA72" s="28"/>
    </row>
    <row r="73" spans="2:27" x14ac:dyDescent="0.3">
      <c r="B73" s="67"/>
      <c r="C73" s="19" t="s">
        <v>55</v>
      </c>
      <c r="D73" s="20">
        <v>59</v>
      </c>
      <c r="E73" s="1"/>
      <c r="F73" s="1"/>
      <c r="G73" s="1"/>
      <c r="H73" s="1"/>
      <c r="I73" s="1"/>
      <c r="J73" s="19">
        <f>(D73*D$62)+(E73*E$62)+(F73*F$62)+(G73*G$62)+(H73*H$62)+(I73*I$62)</f>
        <v>295</v>
      </c>
      <c r="K73" s="20">
        <v>150</v>
      </c>
      <c r="L73" s="20" t="s">
        <v>258</v>
      </c>
      <c r="M73" s="20"/>
      <c r="N73" s="20"/>
      <c r="O73" s="20"/>
      <c r="P73" s="1"/>
      <c r="Q73" s="1"/>
      <c r="R73" s="17">
        <f>SUM(K73:Q73)</f>
        <v>150</v>
      </c>
      <c r="T73" s="14">
        <f>R73+J73</f>
        <v>445</v>
      </c>
      <c r="V73" s="28"/>
      <c r="W73" s="29"/>
      <c r="X73" s="28"/>
      <c r="Y73" s="28"/>
      <c r="Z73" s="28"/>
      <c r="AA73" s="28"/>
    </row>
    <row r="74" spans="2:27" ht="15" thickBot="1" x14ac:dyDescent="0.35">
      <c r="B74" s="68"/>
      <c r="C74" s="11" t="s">
        <v>23</v>
      </c>
      <c r="D74" s="12"/>
      <c r="E74" s="10">
        <v>1</v>
      </c>
      <c r="F74" s="10"/>
      <c r="G74" s="10"/>
      <c r="H74" s="10"/>
      <c r="I74" s="10"/>
      <c r="J74" s="11">
        <f>(D74*D$62)+(E74*E$62)+(F74*F$62)+(G74*G$62)+(H74*H$62)+(I74*I$62)</f>
        <v>100</v>
      </c>
      <c r="K74" s="12" t="s">
        <v>258</v>
      </c>
      <c r="L74" s="12" t="s">
        <v>258</v>
      </c>
      <c r="M74" s="12"/>
      <c r="N74" s="12"/>
      <c r="O74" s="12"/>
      <c r="P74" s="10"/>
      <c r="Q74" s="10"/>
      <c r="R74" s="13">
        <f>SUM(K74:Q74)</f>
        <v>0</v>
      </c>
      <c r="T74" s="34">
        <f>R74+J74</f>
        <v>100</v>
      </c>
      <c r="V74" s="28"/>
      <c r="W74" s="29"/>
      <c r="X74" s="28"/>
      <c r="Y74" s="28"/>
      <c r="Z74" s="28"/>
      <c r="AA74" s="28"/>
    </row>
    <row r="75" spans="2:27" ht="15" thickBot="1" x14ac:dyDescent="0.35">
      <c r="K75" s="2" t="s">
        <v>258</v>
      </c>
      <c r="L75" s="2" t="s">
        <v>258</v>
      </c>
      <c r="T75" s="37">
        <f>SUM(T70:T74)</f>
        <v>1410</v>
      </c>
      <c r="V75" s="28"/>
      <c r="W75" s="29"/>
      <c r="X75" s="28"/>
      <c r="Y75" s="28"/>
      <c r="Z75" s="28"/>
      <c r="AA75" s="28"/>
    </row>
    <row r="76" spans="2:27" x14ac:dyDescent="0.3">
      <c r="B76" s="66" t="s">
        <v>97</v>
      </c>
      <c r="C76" s="39" t="s">
        <v>256</v>
      </c>
      <c r="D76" s="23">
        <v>15</v>
      </c>
      <c r="E76" s="6"/>
      <c r="F76" s="6"/>
      <c r="G76" s="6"/>
      <c r="H76" s="6"/>
      <c r="I76" s="6"/>
      <c r="J76" s="7">
        <f>(D76*D$62)+(E76*E$62)+(F76*F$62)+(G76*G$62)+(H76*H$62)+(I76*I$62)</f>
        <v>75</v>
      </c>
      <c r="K76" s="23" t="s">
        <v>258</v>
      </c>
      <c r="L76" s="23" t="s">
        <v>258</v>
      </c>
      <c r="M76" s="23"/>
      <c r="N76" s="23"/>
      <c r="O76" s="23"/>
      <c r="P76" s="6"/>
      <c r="Q76" s="6"/>
      <c r="R76" s="24">
        <f>SUM(K76:Q76)</f>
        <v>0</v>
      </c>
      <c r="T76" s="33">
        <f>(R76+J76)*2</f>
        <v>150</v>
      </c>
      <c r="V76" s="28"/>
      <c r="W76" s="29"/>
      <c r="X76" s="28"/>
      <c r="Y76" s="28"/>
      <c r="Z76" s="28"/>
      <c r="AA76" s="28"/>
    </row>
    <row r="77" spans="2:27" x14ac:dyDescent="0.3">
      <c r="B77" s="67"/>
      <c r="C77" s="19" t="s">
        <v>70</v>
      </c>
      <c r="D77" s="20">
        <v>40</v>
      </c>
      <c r="E77" s="1"/>
      <c r="F77" s="1"/>
      <c r="G77" s="1"/>
      <c r="H77" s="1">
        <v>1</v>
      </c>
      <c r="I77" s="1"/>
      <c r="J77" s="19">
        <f>(D77*D$62)+(E77*E$62)+(F77*F$62)+(G77*G$62)+(H77*H$62)+(I77*I$62)</f>
        <v>250</v>
      </c>
      <c r="K77" s="20">
        <v>50</v>
      </c>
      <c r="L77" s="20" t="s">
        <v>258</v>
      </c>
      <c r="M77" s="20"/>
      <c r="N77" s="20"/>
      <c r="O77" s="20"/>
      <c r="P77" s="1"/>
      <c r="Q77" s="1"/>
      <c r="R77" s="17">
        <f>SUM(K77:Q77)</f>
        <v>50</v>
      </c>
      <c r="T77" s="14">
        <f>R77+J77</f>
        <v>300</v>
      </c>
      <c r="V77" s="28"/>
      <c r="W77" s="29"/>
      <c r="X77" s="28"/>
      <c r="Y77" s="28"/>
      <c r="Z77" s="28"/>
      <c r="AA77" s="28"/>
    </row>
    <row r="78" spans="2:27" x14ac:dyDescent="0.3">
      <c r="B78" s="67"/>
      <c r="C78" s="19" t="s">
        <v>240</v>
      </c>
      <c r="D78" s="20"/>
      <c r="E78" s="1">
        <v>1</v>
      </c>
      <c r="F78" s="1"/>
      <c r="G78" s="1"/>
      <c r="H78" s="1"/>
      <c r="I78" s="1"/>
      <c r="J78" s="19">
        <f>(D78*D$62)+(E78*E$62)+(F78*F$62)+(G78*G$62)+(H78*H$62)+(I78*I$62)</f>
        <v>100</v>
      </c>
      <c r="K78" s="20" t="s">
        <v>258</v>
      </c>
      <c r="L78" s="20" t="s">
        <v>258</v>
      </c>
      <c r="M78" s="20"/>
      <c r="N78" s="20"/>
      <c r="O78" s="20"/>
      <c r="P78" s="1"/>
      <c r="Q78" s="1"/>
      <c r="R78" s="17">
        <f>SUM(K78:Q78)</f>
        <v>0</v>
      </c>
      <c r="T78" s="14">
        <f>R78+J78</f>
        <v>100</v>
      </c>
      <c r="V78" s="28"/>
      <c r="W78" s="29"/>
      <c r="X78" s="28"/>
      <c r="Y78" s="28"/>
      <c r="Z78" s="28"/>
      <c r="AA78" s="28"/>
    </row>
    <row r="79" spans="2:27" x14ac:dyDescent="0.3">
      <c r="B79" s="67"/>
      <c r="C79" s="19" t="s">
        <v>175</v>
      </c>
      <c r="D79" s="20">
        <v>14</v>
      </c>
      <c r="E79" s="1">
        <v>2</v>
      </c>
      <c r="F79" s="1"/>
      <c r="G79" s="1"/>
      <c r="H79" s="1"/>
      <c r="I79" s="1"/>
      <c r="J79" s="19">
        <f>(D79*D$62)+(E79*E$62)+(F79*F$62)+(G79*G$62)+(H79*H$62)+(I79*I$62)</f>
        <v>270</v>
      </c>
      <c r="K79" s="20" t="s">
        <v>258</v>
      </c>
      <c r="L79" s="20">
        <v>50</v>
      </c>
      <c r="M79" s="20"/>
      <c r="N79" s="20"/>
      <c r="O79" s="20"/>
      <c r="P79" s="1"/>
      <c r="Q79" s="1"/>
      <c r="R79" s="17">
        <f>SUM(K79:Q79)</f>
        <v>50</v>
      </c>
      <c r="T79" s="14">
        <f>R79+J79</f>
        <v>320</v>
      </c>
      <c r="V79" s="28"/>
      <c r="W79" s="29"/>
      <c r="X79" s="28"/>
      <c r="Y79" s="28"/>
      <c r="Z79" s="28"/>
      <c r="AA79" s="28"/>
    </row>
    <row r="80" spans="2:27" ht="15" thickBot="1" x14ac:dyDescent="0.35">
      <c r="B80" s="68"/>
      <c r="C80" s="11" t="s">
        <v>62</v>
      </c>
      <c r="D80" s="12"/>
      <c r="E80" s="10">
        <v>1</v>
      </c>
      <c r="F80" s="10"/>
      <c r="G80" s="10"/>
      <c r="H80" s="10"/>
      <c r="I80" s="10"/>
      <c r="J80" s="11">
        <f>(D80*D$62)+(E80*E$62)+(F80*F$62)+(G80*G$62)+(H80*H$62)+(I80*I$62)</f>
        <v>100</v>
      </c>
      <c r="K80" s="12" t="s">
        <v>258</v>
      </c>
      <c r="L80" s="12" t="s">
        <v>258</v>
      </c>
      <c r="M80" s="12"/>
      <c r="N80" s="12"/>
      <c r="O80" s="12"/>
      <c r="P80" s="10"/>
      <c r="Q80" s="10"/>
      <c r="R80" s="13">
        <f>SUM(K80:Q80)</f>
        <v>0</v>
      </c>
      <c r="T80" s="34">
        <f>R80+J80</f>
        <v>100</v>
      </c>
      <c r="V80" s="28"/>
      <c r="W80" s="29"/>
      <c r="X80" s="28"/>
      <c r="Y80" s="28"/>
      <c r="Z80" s="28"/>
      <c r="AA80" s="28"/>
    </row>
    <row r="81" spans="2:27" ht="15" thickBot="1" x14ac:dyDescent="0.35">
      <c r="K81" s="2" t="s">
        <v>258</v>
      </c>
      <c r="L81" s="2" t="s">
        <v>258</v>
      </c>
      <c r="T81" s="37">
        <f>SUM(T76:T80)</f>
        <v>970</v>
      </c>
      <c r="V81" s="28"/>
      <c r="W81" s="29"/>
      <c r="X81" s="28"/>
      <c r="Y81" s="28"/>
      <c r="Z81" s="28"/>
      <c r="AA81" s="28"/>
    </row>
    <row r="82" spans="2:27" x14ac:dyDescent="0.3">
      <c r="B82" s="66" t="s">
        <v>98</v>
      </c>
      <c r="C82" s="39" t="s">
        <v>81</v>
      </c>
      <c r="D82" s="23">
        <v>0</v>
      </c>
      <c r="E82" s="6"/>
      <c r="F82" s="6"/>
      <c r="G82" s="6"/>
      <c r="H82" s="6"/>
      <c r="I82" s="6">
        <v>1</v>
      </c>
      <c r="J82" s="7">
        <f>(D82*D$62)+(E82*E$62)+(F82*F$62)+(G82*G$62)+(H82*H$62)+(I82*I$62)</f>
        <v>-50</v>
      </c>
      <c r="K82" s="23" t="s">
        <v>258</v>
      </c>
      <c r="L82" s="23" t="s">
        <v>258</v>
      </c>
      <c r="M82" s="23"/>
      <c r="N82" s="23"/>
      <c r="O82" s="23"/>
      <c r="P82" s="6"/>
      <c r="Q82" s="6"/>
      <c r="R82" s="24">
        <f>SUM(K82:Q82)</f>
        <v>0</v>
      </c>
      <c r="T82" s="33">
        <f>(R82+J82)*2</f>
        <v>-100</v>
      </c>
      <c r="V82" s="28"/>
      <c r="W82" s="29"/>
      <c r="X82" s="28"/>
      <c r="Y82" s="28"/>
      <c r="Z82" s="28"/>
      <c r="AA82" s="28"/>
    </row>
    <row r="83" spans="2:27" x14ac:dyDescent="0.3">
      <c r="B83" s="67"/>
      <c r="C83" s="19" t="s">
        <v>57</v>
      </c>
      <c r="D83" s="20">
        <v>18</v>
      </c>
      <c r="E83" s="1"/>
      <c r="F83" s="1"/>
      <c r="G83" s="1"/>
      <c r="H83" s="1"/>
      <c r="I83" s="1"/>
      <c r="J83" s="19">
        <f>(D83*D$62)+(E83*E$62)+(F83*F$62)+(G83*G$62)+(H83*H$62)+(I83*I$62)</f>
        <v>90</v>
      </c>
      <c r="K83" s="20" t="s">
        <v>258</v>
      </c>
      <c r="L83" s="20" t="s">
        <v>258</v>
      </c>
      <c r="M83" s="20"/>
      <c r="N83" s="20"/>
      <c r="O83" s="20"/>
      <c r="P83" s="1"/>
      <c r="Q83" s="1"/>
      <c r="R83" s="17">
        <f>SUM(K83:Q83)</f>
        <v>0</v>
      </c>
      <c r="T83" s="14">
        <f>R83+J83</f>
        <v>90</v>
      </c>
      <c r="V83" s="28"/>
      <c r="W83" s="29"/>
      <c r="X83" s="28"/>
      <c r="Y83" s="28"/>
      <c r="Z83" s="28"/>
      <c r="AA83" s="28"/>
    </row>
    <row r="84" spans="2:27" x14ac:dyDescent="0.3">
      <c r="B84" s="67"/>
      <c r="C84" s="19" t="s">
        <v>47</v>
      </c>
      <c r="D84" s="20">
        <v>1</v>
      </c>
      <c r="E84" s="1"/>
      <c r="F84" s="1"/>
      <c r="G84" s="1"/>
      <c r="H84" s="1">
        <v>1</v>
      </c>
      <c r="I84" s="1"/>
      <c r="J84" s="19">
        <f>(D84*D$62)+(E84*E$62)+(F84*F$62)+(G84*G$62)+(H84*H$62)+(I84*I$62)</f>
        <v>55</v>
      </c>
      <c r="K84" s="20" t="s">
        <v>258</v>
      </c>
      <c r="L84" s="20" t="s">
        <v>258</v>
      </c>
      <c r="M84" s="20" t="s">
        <v>258</v>
      </c>
      <c r="N84" s="20"/>
      <c r="O84" s="20"/>
      <c r="P84" s="1"/>
      <c r="Q84" s="1"/>
      <c r="R84" s="17">
        <f>SUM(K84:Q84)</f>
        <v>0</v>
      </c>
      <c r="T84" s="14">
        <f>R84+J84</f>
        <v>55</v>
      </c>
      <c r="V84" s="28"/>
      <c r="W84" s="29"/>
      <c r="X84" s="28"/>
      <c r="Y84" s="28"/>
      <c r="Z84" s="28"/>
      <c r="AA84" s="28"/>
    </row>
    <row r="85" spans="2:27" x14ac:dyDescent="0.3">
      <c r="B85" s="67"/>
      <c r="C85" s="19" t="s">
        <v>41</v>
      </c>
      <c r="D85" s="20">
        <v>1</v>
      </c>
      <c r="E85" s="1">
        <v>2</v>
      </c>
      <c r="F85" s="1"/>
      <c r="G85" s="1"/>
      <c r="H85" s="1"/>
      <c r="I85" s="1"/>
      <c r="J85" s="19">
        <f>(D85*D$62)+(E85*E$62)+(F85*F$62)+(G85*G$62)+(H85*H$62)+(I85*I$62)</f>
        <v>205</v>
      </c>
      <c r="K85" s="20" t="s">
        <v>258</v>
      </c>
      <c r="L85" s="20">
        <v>50</v>
      </c>
      <c r="M85" s="20" t="s">
        <v>258</v>
      </c>
      <c r="N85" s="20"/>
      <c r="O85" s="20"/>
      <c r="P85" s="1"/>
      <c r="Q85" s="1"/>
      <c r="R85" s="17">
        <f>SUM(K85:Q85)</f>
        <v>50</v>
      </c>
      <c r="T85" s="14">
        <f>R85+J85</f>
        <v>255</v>
      </c>
      <c r="V85" s="28"/>
      <c r="W85" s="29"/>
      <c r="X85" s="28"/>
      <c r="Y85" s="28"/>
      <c r="Z85" s="28"/>
      <c r="AA85" s="28"/>
    </row>
    <row r="86" spans="2:27" ht="15" thickBot="1" x14ac:dyDescent="0.35">
      <c r="B86" s="68"/>
      <c r="C86" s="11" t="s">
        <v>83</v>
      </c>
      <c r="D86" s="12">
        <v>17</v>
      </c>
      <c r="E86" s="10"/>
      <c r="F86" s="10"/>
      <c r="G86" s="10"/>
      <c r="H86" s="10"/>
      <c r="I86" s="10"/>
      <c r="J86" s="11">
        <f>(D86*D$62)+(E86*E$62)+(F86*F$62)+(G86*G$62)+(H86*H$62)+(I86*I$62)</f>
        <v>85</v>
      </c>
      <c r="K86" s="12" t="s">
        <v>258</v>
      </c>
      <c r="L86" s="12" t="s">
        <v>258</v>
      </c>
      <c r="M86" s="12" t="s">
        <v>258</v>
      </c>
      <c r="N86" s="12"/>
      <c r="O86" s="12"/>
      <c r="P86" s="10"/>
      <c r="Q86" s="10"/>
      <c r="R86" s="13">
        <f>SUM(K86:Q86)</f>
        <v>0</v>
      </c>
      <c r="T86" s="34">
        <f>R86+J86</f>
        <v>85</v>
      </c>
      <c r="V86" s="28"/>
      <c r="W86" s="29"/>
      <c r="X86" s="28"/>
      <c r="Y86" s="28"/>
      <c r="Z86" s="28"/>
      <c r="AA86" s="28"/>
    </row>
    <row r="87" spans="2:27" ht="15" thickBot="1" x14ac:dyDescent="0.35">
      <c r="T87" s="37">
        <f>SUM(T82:T86)</f>
        <v>385</v>
      </c>
      <c r="V87" s="28"/>
      <c r="W87" s="29"/>
      <c r="X87" s="28"/>
      <c r="Y87" s="28"/>
      <c r="Z87" s="28"/>
      <c r="AA87" s="28"/>
    </row>
  </sheetData>
  <mergeCells count="8">
    <mergeCell ref="B76:B80"/>
    <mergeCell ref="B82:B86"/>
    <mergeCell ref="B32:B36"/>
    <mergeCell ref="B38:B42"/>
    <mergeCell ref="B44:B48"/>
    <mergeCell ref="B50:B54"/>
    <mergeCell ref="B64:B68"/>
    <mergeCell ref="B70:B7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AK84"/>
  <sheetViews>
    <sheetView zoomScale="90" zoomScaleNormal="90" workbookViewId="0">
      <selection activeCell="V27" sqref="V27:AA36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30" width="8.88671875" style="3"/>
    <col min="31" max="31" width="10.109375" style="3" bestFit="1" customWidth="1"/>
    <col min="32" max="32" width="6.33203125" style="3" bestFit="1" customWidth="1"/>
    <col min="33" max="34" width="7.88671875" style="3" bestFit="1" customWidth="1"/>
    <col min="35" max="36" width="7.109375" style="3" bestFit="1" customWidth="1"/>
    <col min="37" max="16384" width="8.88671875" style="3"/>
  </cols>
  <sheetData>
    <row r="1" spans="2:37" x14ac:dyDescent="0.3">
      <c r="AE1" s="46"/>
      <c r="AK1" s="46"/>
    </row>
    <row r="2" spans="2:37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E2" s="46"/>
      <c r="AK2" s="46"/>
    </row>
    <row r="3" spans="2:37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E3" s="46"/>
      <c r="AK3" s="46"/>
    </row>
    <row r="4" spans="2:37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E4" s="46"/>
      <c r="AK4" s="46"/>
    </row>
    <row r="5" spans="2:37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E5" s="46"/>
      <c r="AK5" s="46"/>
    </row>
    <row r="6" spans="2:37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7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7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7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7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7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7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7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7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7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7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7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7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7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7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7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7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7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7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7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7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7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98</v>
      </c>
    </row>
    <row r="28" spans="2:37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1160</v>
      </c>
      <c r="Y28" s="42">
        <f>SUM(Y29:Y36)</f>
        <v>13575</v>
      </c>
      <c r="Z28" s="42">
        <f>SUM(Z29:Z36)</f>
        <v>-8990</v>
      </c>
      <c r="AA28" s="42">
        <f>SUM(AA29:AA36)</f>
        <v>-5745</v>
      </c>
    </row>
    <row r="29" spans="2:37" x14ac:dyDescent="0.3">
      <c r="B29" s="66" t="s">
        <v>211</v>
      </c>
      <c r="C29" s="52" t="s">
        <v>52</v>
      </c>
      <c r="D29" s="5">
        <v>31</v>
      </c>
      <c r="E29" s="6"/>
      <c r="F29" s="6"/>
      <c r="G29" s="6"/>
      <c r="H29" s="6"/>
      <c r="I29" s="6"/>
      <c r="J29" s="7">
        <f>(D29*D$59)+(E29*E$59)+(F29*F$59)+(G29*G$59)+(H29*H$59)+(I29*I$59)</f>
        <v>155</v>
      </c>
      <c r="K29" s="15">
        <f>IF(D29&gt;=100, 250, IF(D29&gt;=50, 150, IF(D29&gt;=30, 50, "")))</f>
        <v>50</v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50</v>
      </c>
      <c r="T29" s="14">
        <f>(R29+J29)*2</f>
        <v>410</v>
      </c>
      <c r="V29" s="28">
        <v>1</v>
      </c>
      <c r="W29" s="29">
        <v>45758</v>
      </c>
      <c r="X29" s="28">
        <v>4670</v>
      </c>
      <c r="Y29" s="28">
        <v>-1680</v>
      </c>
      <c r="Z29" s="28">
        <v>-1540</v>
      </c>
      <c r="AA29" s="28">
        <v>-1450</v>
      </c>
    </row>
    <row r="30" spans="2:37" x14ac:dyDescent="0.3">
      <c r="B30" s="67"/>
      <c r="C30" s="4" t="s">
        <v>281</v>
      </c>
      <c r="D30" s="18">
        <v>0</v>
      </c>
      <c r="E30" s="1"/>
      <c r="F30" s="1"/>
      <c r="G30" s="1"/>
      <c r="H30" s="1"/>
      <c r="I30" s="1">
        <v>1</v>
      </c>
      <c r="J30" s="19">
        <f>(D30*D$59)+(E30*E$59)+(F30*F$59)+(G30*G$59)+(H30*H$59)+(I30*I$59)</f>
        <v>-50</v>
      </c>
      <c r="K30" s="15" t="str">
        <f t="shared" ref="K30:K33" si="0">IF(D30&gt;=100, 250, IF(D30&gt;=50, 150, IF(D30&gt;=30, 50, "")))</f>
        <v/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0</v>
      </c>
      <c r="T30" s="14">
        <f>R30+J30</f>
        <v>-50</v>
      </c>
      <c r="V30" s="28">
        <v>2</v>
      </c>
      <c r="W30" s="29">
        <v>45759</v>
      </c>
      <c r="X30" s="45">
        <v>-665</v>
      </c>
      <c r="Y30" s="45">
        <v>2850</v>
      </c>
      <c r="Z30" s="45">
        <v>-1475</v>
      </c>
      <c r="AA30" s="45">
        <v>-710</v>
      </c>
    </row>
    <row r="31" spans="2:37" x14ac:dyDescent="0.3">
      <c r="B31" s="67"/>
      <c r="C31" s="4" t="s">
        <v>41</v>
      </c>
      <c r="D31" s="18"/>
      <c r="E31" s="1">
        <v>1</v>
      </c>
      <c r="F31" s="1"/>
      <c r="G31" s="1"/>
      <c r="H31" s="1"/>
      <c r="I31" s="1"/>
      <c r="J31" s="19">
        <f>(D31*D$59)+(E31*E$59)+(F31*F$59)+(G31*G$59)+(H31*H$59)+(I31*I$59)</f>
        <v>100</v>
      </c>
      <c r="K31" s="15" t="str">
        <f t="shared" si="0"/>
        <v/>
      </c>
      <c r="L31" s="20" t="str">
        <f t="shared" si="1"/>
        <v/>
      </c>
      <c r="M31" s="20" t="s">
        <v>258</v>
      </c>
      <c r="N31" s="20"/>
      <c r="O31" s="20"/>
      <c r="P31" s="1"/>
      <c r="Q31" s="1"/>
      <c r="R31" s="17">
        <f>SUM(K31:Q31)</f>
        <v>0</v>
      </c>
      <c r="T31" s="14">
        <f>R31+J31</f>
        <v>100</v>
      </c>
      <c r="V31" s="28">
        <v>3</v>
      </c>
      <c r="W31" s="44">
        <v>45759</v>
      </c>
      <c r="X31" s="28">
        <v>-2075</v>
      </c>
      <c r="Y31" s="28">
        <v>6640</v>
      </c>
      <c r="Z31" s="28">
        <v>-2975</v>
      </c>
      <c r="AA31" s="28">
        <v>-1590</v>
      </c>
    </row>
    <row r="32" spans="2:37" x14ac:dyDescent="0.3">
      <c r="B32" s="67"/>
      <c r="C32" s="4" t="s">
        <v>106</v>
      </c>
      <c r="D32" s="18"/>
      <c r="E32" s="1">
        <v>2</v>
      </c>
      <c r="F32" s="1"/>
      <c r="G32" s="1"/>
      <c r="H32" s="1"/>
      <c r="I32" s="1"/>
      <c r="J32" s="19">
        <f>(D32*D$59)+(E32*E$59)+(F32*F$59)+(G32*G$59)+(H32*H$59)+(I32*I$59)</f>
        <v>200</v>
      </c>
      <c r="K32" s="15" t="str">
        <f t="shared" si="0"/>
        <v/>
      </c>
      <c r="L32" s="20">
        <f t="shared" si="1"/>
        <v>50</v>
      </c>
      <c r="M32" s="20" t="s">
        <v>258</v>
      </c>
      <c r="N32" s="20"/>
      <c r="O32" s="20"/>
      <c r="P32" s="1"/>
      <c r="Q32" s="1"/>
      <c r="R32" s="17">
        <f>SUM(K32:Q32)</f>
        <v>50</v>
      </c>
      <c r="T32" s="14">
        <f>R32+J32</f>
        <v>250</v>
      </c>
      <c r="V32" s="28">
        <v>4</v>
      </c>
      <c r="W32" s="44">
        <v>45760</v>
      </c>
      <c r="X32" s="28">
        <v>-335</v>
      </c>
      <c r="Y32" s="28">
        <v>2435</v>
      </c>
      <c r="Z32" s="28">
        <v>-1575</v>
      </c>
      <c r="AA32" s="28">
        <v>-525</v>
      </c>
      <c r="AD32" s="50" t="s">
        <v>5</v>
      </c>
      <c r="AE32" s="50" t="s">
        <v>235</v>
      </c>
      <c r="AG32" s="47"/>
      <c r="AH32" s="47" t="s">
        <v>211</v>
      </c>
      <c r="AI32" s="48" t="s">
        <v>96</v>
      </c>
      <c r="AJ32" s="48" t="s">
        <v>97</v>
      </c>
      <c r="AK32" s="48" t="s">
        <v>98</v>
      </c>
    </row>
    <row r="33" spans="2:37" ht="15" thickBot="1" x14ac:dyDescent="0.35">
      <c r="B33" s="68"/>
      <c r="C33" s="21" t="s">
        <v>78</v>
      </c>
      <c r="D33" s="9">
        <v>51</v>
      </c>
      <c r="E33" s="10"/>
      <c r="F33" s="10"/>
      <c r="G33" s="10"/>
      <c r="H33" s="10"/>
      <c r="I33" s="10"/>
      <c r="J33" s="11">
        <f>(D33*D$59)+(E33*E$59)+(F33*F$59)+(G33*G$59)+(H33*H$59)+(I33*I$59)</f>
        <v>255</v>
      </c>
      <c r="K33" s="12">
        <f t="shared" si="0"/>
        <v>150</v>
      </c>
      <c r="L33" s="12" t="str">
        <f t="shared" si="1"/>
        <v/>
      </c>
      <c r="M33" s="12" t="s">
        <v>258</v>
      </c>
      <c r="N33" s="12"/>
      <c r="O33" s="12"/>
      <c r="P33" s="10"/>
      <c r="Q33" s="10"/>
      <c r="R33" s="13">
        <f>SUM(K33:Q33)</f>
        <v>150</v>
      </c>
      <c r="T33" s="22">
        <f>(R33+J33)</f>
        <v>405</v>
      </c>
      <c r="V33" s="28">
        <v>5</v>
      </c>
      <c r="W33" s="29">
        <v>45760</v>
      </c>
      <c r="X33" s="28">
        <v>-930</v>
      </c>
      <c r="Y33" s="28">
        <v>2395</v>
      </c>
      <c r="Z33" s="28">
        <v>-440</v>
      </c>
      <c r="AA33" s="28">
        <v>-1025</v>
      </c>
      <c r="AD33" s="28" t="s">
        <v>211</v>
      </c>
      <c r="AE33" s="28">
        <f>T34</f>
        <v>1115</v>
      </c>
      <c r="AG33" s="49" t="s">
        <v>165</v>
      </c>
      <c r="AH33" s="49">
        <v>-4745</v>
      </c>
      <c r="AI33" s="49">
        <v>2405</v>
      </c>
      <c r="AJ33" s="49">
        <v>10275</v>
      </c>
      <c r="AK33" s="49">
        <v>-7935</v>
      </c>
    </row>
    <row r="34" spans="2:37" ht="15" thickBot="1" x14ac:dyDescent="0.35">
      <c r="K34" s="2" t="s">
        <v>258</v>
      </c>
      <c r="L34" s="2" t="s">
        <v>258</v>
      </c>
      <c r="T34" s="54">
        <f>SUM(T29:T33)</f>
        <v>1115</v>
      </c>
      <c r="V34" s="28">
        <v>6</v>
      </c>
      <c r="W34" s="29">
        <v>45761</v>
      </c>
      <c r="X34" s="28">
        <v>-400</v>
      </c>
      <c r="Y34" s="28">
        <v>-400</v>
      </c>
      <c r="Z34" s="28">
        <v>-90</v>
      </c>
      <c r="AA34" s="28">
        <v>890</v>
      </c>
      <c r="AD34" s="28" t="s">
        <v>96</v>
      </c>
      <c r="AE34" s="28">
        <f>T40</f>
        <v>1635</v>
      </c>
      <c r="AG34" s="49" t="s">
        <v>210</v>
      </c>
      <c r="AH34" s="49">
        <v>-5315</v>
      </c>
      <c r="AI34" s="49">
        <v>-3535</v>
      </c>
      <c r="AJ34" s="49">
        <v>5950</v>
      </c>
      <c r="AK34" s="49">
        <v>2900</v>
      </c>
    </row>
    <row r="35" spans="2:37" x14ac:dyDescent="0.3">
      <c r="B35" s="66" t="s">
        <v>96</v>
      </c>
      <c r="C35" s="53" t="s">
        <v>180</v>
      </c>
      <c r="D35" s="23">
        <v>51</v>
      </c>
      <c r="E35" s="6"/>
      <c r="F35" s="6"/>
      <c r="G35" s="6"/>
      <c r="H35" s="6">
        <v>1</v>
      </c>
      <c r="I35" s="6"/>
      <c r="J35" s="7">
        <f>(D35*D$59)+(E35*E$59)+(F35*F$59)+(G35*G$59)+(H35*H$59)+(I35*I$59)</f>
        <v>305</v>
      </c>
      <c r="K35" s="23">
        <f t="shared" ref="K35:K39" si="2">IF(D35&gt;=100, 250, IF(D35&gt;=50, 150, IF(D35&gt;=30, 50, "")))</f>
        <v>150</v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150</v>
      </c>
      <c r="T35" s="33">
        <f>(R35+J35)*2</f>
        <v>910</v>
      </c>
      <c r="V35" s="28">
        <v>7</v>
      </c>
      <c r="W35" s="29">
        <v>45762</v>
      </c>
      <c r="X35" s="28">
        <v>1415</v>
      </c>
      <c r="Y35" s="28">
        <v>-335</v>
      </c>
      <c r="Z35" s="28">
        <v>-370</v>
      </c>
      <c r="AA35" s="28">
        <v>-710</v>
      </c>
      <c r="AD35" s="28" t="s">
        <v>97</v>
      </c>
      <c r="AE35" s="28">
        <f>T46</f>
        <v>1110</v>
      </c>
      <c r="AG35" s="49" t="s">
        <v>236</v>
      </c>
      <c r="AH35" s="49">
        <v>14615</v>
      </c>
      <c r="AI35" s="49">
        <v>-7370</v>
      </c>
      <c r="AJ35" s="49">
        <v>-1095</v>
      </c>
      <c r="AK35" s="49">
        <v>-6150</v>
      </c>
    </row>
    <row r="36" spans="2:37" x14ac:dyDescent="0.3">
      <c r="B36" s="67"/>
      <c r="C36" s="19" t="s">
        <v>71</v>
      </c>
      <c r="D36" s="20">
        <v>49</v>
      </c>
      <c r="E36" s="1"/>
      <c r="F36" s="1"/>
      <c r="G36" s="1"/>
      <c r="H36" s="1"/>
      <c r="I36" s="1"/>
      <c r="J36" s="19">
        <f>(D36*D$59)+(E36*E$59)+(F36*F$59)+(G36*G$59)+(H36*H$59)+(I36*I$59)</f>
        <v>245</v>
      </c>
      <c r="K36" s="15">
        <f t="shared" si="2"/>
        <v>50</v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50</v>
      </c>
      <c r="T36" s="14">
        <f>R36+J36</f>
        <v>295</v>
      </c>
      <c r="V36" s="28">
        <v>8</v>
      </c>
      <c r="W36" s="29">
        <v>45763</v>
      </c>
      <c r="X36" s="28">
        <f>T34-T40</f>
        <v>-520</v>
      </c>
      <c r="Y36" s="28">
        <f>-(X36+Z36+AA36)</f>
        <v>1670</v>
      </c>
      <c r="Z36" s="28">
        <f>T46-T40</f>
        <v>-525</v>
      </c>
      <c r="AA36" s="28">
        <f>T52-T40</f>
        <v>-625</v>
      </c>
      <c r="AD36" s="28" t="s">
        <v>98</v>
      </c>
      <c r="AE36" s="28">
        <f>T52</f>
        <v>1010</v>
      </c>
      <c r="AG36" s="49" t="s">
        <v>272</v>
      </c>
      <c r="AH36" s="49">
        <f>X28</f>
        <v>1160</v>
      </c>
      <c r="AI36" s="49">
        <f>Y28</f>
        <v>13575</v>
      </c>
      <c r="AJ36" s="49">
        <f>Z28</f>
        <v>-8990</v>
      </c>
      <c r="AK36" s="49">
        <f>AA28</f>
        <v>-5745</v>
      </c>
    </row>
    <row r="37" spans="2:37" x14ac:dyDescent="0.3">
      <c r="B37" s="67"/>
      <c r="C37" s="19" t="s">
        <v>282</v>
      </c>
      <c r="D37" s="20"/>
      <c r="E37" s="1">
        <v>1</v>
      </c>
      <c r="F37" s="1">
        <v>1</v>
      </c>
      <c r="G37" s="1"/>
      <c r="H37" s="1"/>
      <c r="I37" s="1"/>
      <c r="J37" s="19">
        <f>(D37*D$59)+(E37*E$59)+(F37*F$59)+(G37*G$59)+(H37*H$59)+(I37*I$59)</f>
        <v>150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150</v>
      </c>
      <c r="V37" s="28"/>
      <c r="W37" s="29"/>
      <c r="X37" s="28"/>
      <c r="Y37" s="28"/>
      <c r="Z37" s="28"/>
      <c r="AA37" s="28"/>
      <c r="AG37" s="49" t="s">
        <v>0</v>
      </c>
      <c r="AH37" s="49">
        <f>SUM(AH33:AH36)</f>
        <v>5715</v>
      </c>
      <c r="AI37" s="49">
        <f t="shared" ref="AI37:AK37" si="4">SUM(AI33:AI36)</f>
        <v>5075</v>
      </c>
      <c r="AJ37" s="49">
        <f t="shared" si="4"/>
        <v>6140</v>
      </c>
      <c r="AK37" s="49">
        <f t="shared" si="4"/>
        <v>-16930</v>
      </c>
    </row>
    <row r="38" spans="2:37" x14ac:dyDescent="0.3">
      <c r="B38" s="67"/>
      <c r="C38" s="19" t="s">
        <v>109</v>
      </c>
      <c r="D38" s="20">
        <v>26</v>
      </c>
      <c r="E38" s="1"/>
      <c r="F38" s="1"/>
      <c r="G38" s="1"/>
      <c r="H38" s="1">
        <v>1</v>
      </c>
      <c r="I38" s="1"/>
      <c r="J38" s="19">
        <f>(D38*D$59)+(E38*E$59)+(F38*F$59)+(G38*G$59)+(H38*H$59)+(I38*I$59)</f>
        <v>180</v>
      </c>
      <c r="K38" s="15" t="str">
        <f t="shared" si="2"/>
        <v/>
      </c>
      <c r="L38" s="20" t="str">
        <f t="shared" si="3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180</v>
      </c>
      <c r="V38" s="28"/>
      <c r="W38" s="29"/>
      <c r="X38" s="28"/>
      <c r="Y38" s="28"/>
      <c r="Z38" s="28"/>
      <c r="AA38" s="28"/>
    </row>
    <row r="39" spans="2:37" ht="15" thickBot="1" x14ac:dyDescent="0.35">
      <c r="B39" s="68"/>
      <c r="C39" s="11" t="s">
        <v>283</v>
      </c>
      <c r="D39" s="12"/>
      <c r="E39" s="10">
        <v>1</v>
      </c>
      <c r="F39" s="10"/>
      <c r="G39" s="10"/>
      <c r="H39" s="10"/>
      <c r="I39" s="10"/>
      <c r="J39" s="11">
        <f>(D39*D$59)+(E39*E$59)+(F39*F$59)+(G39*G$59)+(H39*H$59)+(I39*I$59)</f>
        <v>100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100</v>
      </c>
      <c r="V39" s="28"/>
      <c r="W39" s="29"/>
      <c r="X39" s="28"/>
      <c r="Y39" s="28"/>
      <c r="Z39" s="28"/>
      <c r="AA39" s="28"/>
    </row>
    <row r="40" spans="2:37" ht="15" thickBot="1" x14ac:dyDescent="0.35">
      <c r="K40" s="2" t="s">
        <v>258</v>
      </c>
      <c r="L40" s="2" t="s">
        <v>258</v>
      </c>
      <c r="T40" s="54">
        <f>SUM(T35:T39)</f>
        <v>1635</v>
      </c>
      <c r="V40" s="28"/>
      <c r="W40" s="29"/>
      <c r="X40" s="28"/>
      <c r="Y40" s="28"/>
      <c r="Z40" s="28"/>
      <c r="AA40" s="28"/>
    </row>
    <row r="41" spans="2:37" x14ac:dyDescent="0.3">
      <c r="B41" s="66" t="s">
        <v>97</v>
      </c>
      <c r="C41" s="53" t="s">
        <v>256</v>
      </c>
      <c r="D41" s="23">
        <v>45</v>
      </c>
      <c r="E41" s="6"/>
      <c r="F41" s="6">
        <v>2</v>
      </c>
      <c r="G41" s="6"/>
      <c r="H41" s="6"/>
      <c r="I41" s="6"/>
      <c r="J41" s="7">
        <f>(D41*D$59)+(E41*E$59)+(F41*F$59)+(G41*G$59)+(H41*H$59)+(I41*I$59)</f>
        <v>325</v>
      </c>
      <c r="K41" s="23">
        <f t="shared" ref="K41:K45" si="5">IF(D41&gt;=100, 250, IF(D41&gt;=50, 150, IF(D41&gt;=30, 50, "")))</f>
        <v>50</v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50</v>
      </c>
      <c r="T41" s="33">
        <f>(R41+J41)*2</f>
        <v>750</v>
      </c>
      <c r="V41" s="28"/>
      <c r="W41" s="29"/>
      <c r="X41" s="28"/>
      <c r="Y41" s="28"/>
      <c r="Z41" s="28"/>
      <c r="AA41" s="28"/>
    </row>
    <row r="42" spans="2:37" x14ac:dyDescent="0.3">
      <c r="B42" s="67"/>
      <c r="C42" s="19" t="s">
        <v>61</v>
      </c>
      <c r="D42" s="20">
        <v>12</v>
      </c>
      <c r="E42" s="1"/>
      <c r="F42" s="1"/>
      <c r="G42" s="1"/>
      <c r="H42" s="1">
        <v>1</v>
      </c>
      <c r="I42" s="1"/>
      <c r="J42" s="19">
        <f>(D42*D$59)+(E42*E$59)+(F42*F$59)+(G42*G$59)+(H42*H$59)+(I42*I$59)</f>
        <v>110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110</v>
      </c>
      <c r="V42" s="28"/>
      <c r="W42" s="29"/>
      <c r="X42" s="28"/>
      <c r="Y42" s="28"/>
      <c r="Z42" s="28"/>
      <c r="AA42" s="28"/>
    </row>
    <row r="43" spans="2:37" x14ac:dyDescent="0.3">
      <c r="B43" s="67"/>
      <c r="C43" s="19" t="s">
        <v>175</v>
      </c>
      <c r="D43" s="20"/>
      <c r="E43" s="1"/>
      <c r="F43" s="1"/>
      <c r="G43" s="1"/>
      <c r="H43" s="1"/>
      <c r="I43" s="1"/>
      <c r="J43" s="19">
        <f>(D43*D$59)+(E43*E$59)+(F43*F$59)+(G43*G$59)+(H43*H$59)+(I43*I$59)</f>
        <v>0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0</v>
      </c>
      <c r="V43" s="28"/>
      <c r="W43" s="29"/>
      <c r="X43" s="28"/>
      <c r="Y43" s="28"/>
      <c r="Z43" s="28"/>
      <c r="AA43" s="28"/>
    </row>
    <row r="44" spans="2:37" x14ac:dyDescent="0.3">
      <c r="B44" s="67"/>
      <c r="C44" s="19" t="s">
        <v>45</v>
      </c>
      <c r="D44" s="20">
        <v>40</v>
      </c>
      <c r="E44" s="1"/>
      <c r="F44" s="1"/>
      <c r="G44" s="1"/>
      <c r="H44" s="1"/>
      <c r="I44" s="1"/>
      <c r="J44" s="19">
        <f>(D44*D$59)+(E44*E$59)+(F44*F$59)+(G44*G$59)+(H44*H$59)+(I44*I$59)</f>
        <v>200</v>
      </c>
      <c r="K44" s="15">
        <f t="shared" si="5"/>
        <v>50</v>
      </c>
      <c r="L44" s="20" t="str">
        <f t="shared" si="6"/>
        <v/>
      </c>
      <c r="M44" s="20"/>
      <c r="N44" s="20"/>
      <c r="O44" s="20"/>
      <c r="P44" s="1"/>
      <c r="Q44" s="1"/>
      <c r="R44" s="17">
        <f>SUM(K44:Q44)</f>
        <v>50</v>
      </c>
      <c r="T44" s="14">
        <f>R44+J44</f>
        <v>250</v>
      </c>
      <c r="V44" s="28"/>
      <c r="W44" s="29"/>
      <c r="X44" s="28"/>
      <c r="Y44" s="28"/>
      <c r="Z44" s="28"/>
      <c r="AA44" s="28"/>
    </row>
    <row r="45" spans="2:37" ht="15" thickBot="1" x14ac:dyDescent="0.35">
      <c r="B45" s="68"/>
      <c r="C45" s="11" t="s">
        <v>80</v>
      </c>
      <c r="D45" s="12"/>
      <c r="E45" s="10"/>
      <c r="F45" s="10"/>
      <c r="G45" s="10"/>
      <c r="H45" s="10"/>
      <c r="I45" s="10"/>
      <c r="J45" s="11">
        <f>(D45*D$59)+(E45*E$59)+(F45*F$59)+(G45*G$59)+(H45*H$59)+(I45*I$59)</f>
        <v>0</v>
      </c>
      <c r="K45" s="12" t="str">
        <f t="shared" si="5"/>
        <v/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0</v>
      </c>
      <c r="V45" s="28"/>
      <c r="W45" s="29"/>
      <c r="X45" s="28"/>
      <c r="Y45" s="28"/>
      <c r="Z45" s="28"/>
      <c r="AA45" s="28"/>
    </row>
    <row r="46" spans="2:37" ht="15" thickBot="1" x14ac:dyDescent="0.35">
      <c r="K46" s="2" t="s">
        <v>258</v>
      </c>
      <c r="L46" s="2" t="s">
        <v>258</v>
      </c>
      <c r="T46" s="54">
        <f>SUM(T41:T45)</f>
        <v>1110</v>
      </c>
      <c r="V46" s="28"/>
      <c r="W46" s="29"/>
      <c r="X46" s="28"/>
      <c r="Y46" s="28"/>
      <c r="Z46" s="28"/>
      <c r="AA46" s="28"/>
    </row>
    <row r="47" spans="2:37" x14ac:dyDescent="0.3">
      <c r="B47" s="66" t="s">
        <v>98</v>
      </c>
      <c r="C47" s="53" t="s">
        <v>81</v>
      </c>
      <c r="D47" s="23">
        <v>9</v>
      </c>
      <c r="E47" s="6"/>
      <c r="F47" s="6">
        <v>1</v>
      </c>
      <c r="G47" s="6"/>
      <c r="H47" s="6"/>
      <c r="I47" s="6"/>
      <c r="J47" s="7">
        <f>(D47*D$59)+(E47*E$59)+(F47*F$59)+(G47*G$59)+(H47*H$59)+(I47*I$59)</f>
        <v>95</v>
      </c>
      <c r="K47" s="23" t="str">
        <f t="shared" ref="K47:K51" si="7">IF(D47&gt;=100, 250, IF(D47&gt;=50, 150, IF(D47&gt;=30, 50, "")))</f>
        <v/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0</v>
      </c>
      <c r="T47" s="33">
        <f>(R47+J47)*2</f>
        <v>190</v>
      </c>
      <c r="V47" s="28"/>
      <c r="W47" s="29"/>
      <c r="X47" s="28"/>
      <c r="Y47" s="28"/>
      <c r="Z47" s="28"/>
      <c r="AA47" s="28"/>
    </row>
    <row r="48" spans="2:37" x14ac:dyDescent="0.3">
      <c r="B48" s="67"/>
      <c r="C48" s="19" t="s">
        <v>44</v>
      </c>
      <c r="D48" s="20">
        <v>34</v>
      </c>
      <c r="E48" s="1">
        <v>1</v>
      </c>
      <c r="F48" s="1">
        <v>1</v>
      </c>
      <c r="G48" s="1"/>
      <c r="H48" s="1"/>
      <c r="I48" s="1"/>
      <c r="J48" s="19">
        <f>(D48*D$59)+(E48*E$59)+(F48*F$59)+(G48*G$59)+(H48*H$59)+(I48*I$59)</f>
        <v>320</v>
      </c>
      <c r="K48" s="15">
        <f t="shared" si="7"/>
        <v>50</v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50</v>
      </c>
      <c r="T48" s="14">
        <f>R48+J48</f>
        <v>370</v>
      </c>
      <c r="V48" s="28"/>
      <c r="W48" s="29"/>
      <c r="X48" s="28"/>
      <c r="Y48" s="28"/>
      <c r="Z48" s="28"/>
      <c r="AA48" s="28"/>
    </row>
    <row r="49" spans="2:27" x14ac:dyDescent="0.3">
      <c r="B49" s="67"/>
      <c r="C49" s="19" t="s">
        <v>47</v>
      </c>
      <c r="D49" s="20"/>
      <c r="E49" s="1">
        <v>1</v>
      </c>
      <c r="F49" s="1">
        <v>2</v>
      </c>
      <c r="G49" s="1"/>
      <c r="H49" s="1">
        <v>1</v>
      </c>
      <c r="I49" s="1"/>
      <c r="J49" s="19">
        <f>(D49*D$59)+(E49*E$59)+(F49*F$59)+(G49*G$59)+(H49*H$59)+(I49*I$59)</f>
        <v>250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250</v>
      </c>
      <c r="V49" s="28"/>
      <c r="W49" s="29"/>
      <c r="X49" s="28"/>
      <c r="Y49" s="28"/>
      <c r="Z49" s="28"/>
      <c r="AA49" s="28"/>
    </row>
    <row r="50" spans="2:27" x14ac:dyDescent="0.3">
      <c r="B50" s="67"/>
      <c r="C50" s="19" t="s">
        <v>63</v>
      </c>
      <c r="D50" s="20"/>
      <c r="E50" s="1"/>
      <c r="F50" s="1">
        <v>1</v>
      </c>
      <c r="G50" s="1"/>
      <c r="H50" s="1"/>
      <c r="I50" s="1"/>
      <c r="J50" s="19">
        <f>(D50*D$59)+(E50*E$59)+(F50*F$59)+(G50*G$59)+(H50*H$59)+(I50*I$59)</f>
        <v>50</v>
      </c>
      <c r="K50" s="15" t="str">
        <f t="shared" si="7"/>
        <v/>
      </c>
      <c r="L50" s="20" t="str">
        <f t="shared" si="8"/>
        <v/>
      </c>
      <c r="M50" s="20" t="s">
        <v>258</v>
      </c>
      <c r="N50" s="20"/>
      <c r="O50" s="20"/>
      <c r="P50" s="1"/>
      <c r="Q50" s="1"/>
      <c r="R50" s="17">
        <f>SUM(K50:Q50)</f>
        <v>0</v>
      </c>
      <c r="T50" s="14">
        <f>R50+J50</f>
        <v>50</v>
      </c>
      <c r="V50" s="28"/>
      <c r="W50" s="29"/>
      <c r="X50" s="28"/>
      <c r="Y50" s="28"/>
      <c r="Z50" s="28"/>
      <c r="AA50" s="28"/>
    </row>
    <row r="51" spans="2:27" ht="15" thickBot="1" x14ac:dyDescent="0.35">
      <c r="B51" s="68"/>
      <c r="C51" s="11" t="s">
        <v>179</v>
      </c>
      <c r="D51" s="12">
        <v>20</v>
      </c>
      <c r="E51" s="10"/>
      <c r="F51" s="10"/>
      <c r="G51" s="10"/>
      <c r="H51" s="10">
        <v>1</v>
      </c>
      <c r="I51" s="10"/>
      <c r="J51" s="11">
        <f>(D51*D$59)+(E51*E$59)+(F51*F$59)+(G51*G$59)+(H51*H$59)+(I51*I$59)</f>
        <v>150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150</v>
      </c>
      <c r="V51" s="28"/>
      <c r="W51" s="29"/>
      <c r="X51" s="28"/>
      <c r="Y51" s="28"/>
      <c r="Z51" s="28"/>
      <c r="AA51" s="28"/>
    </row>
    <row r="52" spans="2:27" ht="15" thickBot="1" x14ac:dyDescent="0.35">
      <c r="T52" s="54">
        <f>SUM(T47:T51)</f>
        <v>1010</v>
      </c>
      <c r="V52" s="28"/>
      <c r="W52" s="29"/>
      <c r="X52" s="28"/>
      <c r="Y52" s="28"/>
      <c r="Z52" s="28"/>
      <c r="AA52" s="28"/>
    </row>
    <row r="54" spans="2:27" x14ac:dyDescent="0.3">
      <c r="W54" s="40"/>
    </row>
    <row r="55" spans="2:27" x14ac:dyDescent="0.3">
      <c r="W55" s="40"/>
    </row>
    <row r="56" spans="2:27" x14ac:dyDescent="0.3">
      <c r="W56" s="40"/>
    </row>
    <row r="57" spans="2:27" x14ac:dyDescent="0.3">
      <c r="W57" s="40"/>
    </row>
    <row r="58" spans="2:27" ht="15" thickBot="1" x14ac:dyDescent="0.35">
      <c r="W58" s="40"/>
    </row>
    <row r="59" spans="2:27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95</v>
      </c>
      <c r="Y59" s="35" t="s">
        <v>96</v>
      </c>
      <c r="Z59" s="35" t="s">
        <v>97</v>
      </c>
      <c r="AA59" s="35" t="s">
        <v>98</v>
      </c>
    </row>
    <row r="60" spans="2:27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665</v>
      </c>
      <c r="Y60" s="42">
        <f>SUM(Y61:Y68)</f>
        <v>12640</v>
      </c>
      <c r="Z60" s="42">
        <f>SUM(Z61:Z68)</f>
        <v>-8005</v>
      </c>
      <c r="AA60" s="42">
        <f>SUM(AA61:AA68)</f>
        <v>-5300</v>
      </c>
    </row>
    <row r="61" spans="2:27" x14ac:dyDescent="0.3">
      <c r="B61" s="66" t="s">
        <v>211</v>
      </c>
      <c r="C61" s="38" t="s">
        <v>114</v>
      </c>
      <c r="D61" s="5">
        <v>1</v>
      </c>
      <c r="E61" s="6"/>
      <c r="F61" s="6">
        <v>1</v>
      </c>
      <c r="G61" s="6"/>
      <c r="H61" s="6">
        <v>1</v>
      </c>
      <c r="I61" s="6"/>
      <c r="J61" s="7">
        <f>(D61*D$59)+(E61*E$59)+(F61*F$59)+(G61*G$59)+(H61*H$59)+(I61*I$59)</f>
        <v>105</v>
      </c>
      <c r="K61" s="15" t="s">
        <v>258</v>
      </c>
      <c r="L61" s="15" t="s">
        <v>258</v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210</v>
      </c>
      <c r="V61" s="28">
        <v>1</v>
      </c>
      <c r="W61" s="29">
        <v>45758</v>
      </c>
      <c r="X61" s="28">
        <v>4670</v>
      </c>
      <c r="Y61" s="28">
        <v>-1680</v>
      </c>
      <c r="Z61" s="28">
        <v>-1540</v>
      </c>
      <c r="AA61" s="28">
        <v>-1450</v>
      </c>
    </row>
    <row r="62" spans="2:27" x14ac:dyDescent="0.3">
      <c r="B62" s="67"/>
      <c r="C62" s="4" t="s">
        <v>71</v>
      </c>
      <c r="D62" s="18">
        <v>33</v>
      </c>
      <c r="E62" s="1"/>
      <c r="F62" s="1"/>
      <c r="G62" s="1"/>
      <c r="H62" s="1">
        <v>1</v>
      </c>
      <c r="I62" s="1"/>
      <c r="J62" s="19">
        <f>(D62*D$59)+(E62*E$59)+(F62*F$59)+(G62*G$59)+(H62*H$59)+(I62*I$59)</f>
        <v>215</v>
      </c>
      <c r="K62" s="20">
        <v>50</v>
      </c>
      <c r="L62" s="20" t="s">
        <v>258</v>
      </c>
      <c r="M62" s="20" t="s">
        <v>258</v>
      </c>
      <c r="N62" s="20"/>
      <c r="O62" s="20"/>
      <c r="P62" s="1"/>
      <c r="Q62" s="1"/>
      <c r="R62" s="17">
        <f>SUM(K62:Q62)</f>
        <v>50</v>
      </c>
      <c r="T62" s="14">
        <f>R62+J62</f>
        <v>265</v>
      </c>
      <c r="V62" s="28">
        <v>2</v>
      </c>
      <c r="W62" s="29">
        <v>45759</v>
      </c>
      <c r="X62" s="45">
        <v>-665</v>
      </c>
      <c r="Y62" s="45">
        <v>2850</v>
      </c>
      <c r="Z62" s="45">
        <v>-1475</v>
      </c>
      <c r="AA62" s="45">
        <v>-710</v>
      </c>
    </row>
    <row r="63" spans="2:27" x14ac:dyDescent="0.3">
      <c r="B63" s="67"/>
      <c r="C63" s="4" t="s">
        <v>51</v>
      </c>
      <c r="D63" s="18"/>
      <c r="E63" s="1"/>
      <c r="F63" s="1"/>
      <c r="G63" s="1"/>
      <c r="H63" s="1"/>
      <c r="I63" s="1"/>
      <c r="J63" s="19">
        <f>(D63*D$59)+(E63*E$59)+(F63*F$59)+(G63*G$59)+(H63*H$59)+(I63*I$59)</f>
        <v>0</v>
      </c>
      <c r="K63" s="20" t="s">
        <v>258</v>
      </c>
      <c r="L63" s="20" t="s">
        <v>258</v>
      </c>
      <c r="M63" s="20" t="s">
        <v>258</v>
      </c>
      <c r="N63" s="20"/>
      <c r="O63" s="20"/>
      <c r="P63" s="1"/>
      <c r="Q63" s="1"/>
      <c r="R63" s="17">
        <f>SUM(K63:Q63)</f>
        <v>0</v>
      </c>
      <c r="T63" s="14">
        <f>R63+J63</f>
        <v>0</v>
      </c>
      <c r="V63" s="28">
        <v>3</v>
      </c>
      <c r="W63" s="44">
        <v>45759</v>
      </c>
      <c r="X63" s="28">
        <v>-2075</v>
      </c>
      <c r="Y63" s="28">
        <v>6640</v>
      </c>
      <c r="Z63" s="28">
        <v>-2975</v>
      </c>
      <c r="AA63" s="28">
        <v>-1590</v>
      </c>
    </row>
    <row r="64" spans="2:27" x14ac:dyDescent="0.3">
      <c r="B64" s="67"/>
      <c r="C64" s="4" t="s">
        <v>45</v>
      </c>
      <c r="D64" s="18">
        <v>1</v>
      </c>
      <c r="E64" s="1"/>
      <c r="F64" s="1"/>
      <c r="G64" s="1"/>
      <c r="H64" s="1">
        <v>1</v>
      </c>
      <c r="I64" s="1"/>
      <c r="J64" s="19">
        <f>(D64*D$59)+(E64*E$59)+(F64*F$59)+(G64*G$59)+(H64*H$59)+(I64*I$59)</f>
        <v>55</v>
      </c>
      <c r="K64" s="20" t="s">
        <v>258</v>
      </c>
      <c r="L64" s="20" t="s">
        <v>258</v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55</v>
      </c>
      <c r="V64" s="28">
        <v>4</v>
      </c>
      <c r="W64" s="44">
        <v>45760</v>
      </c>
      <c r="X64" s="28">
        <v>-335</v>
      </c>
      <c r="Y64" s="28">
        <v>2435</v>
      </c>
      <c r="Z64" s="28">
        <v>-1575</v>
      </c>
      <c r="AA64" s="28">
        <v>-525</v>
      </c>
    </row>
    <row r="65" spans="2:27" ht="15" thickBot="1" x14ac:dyDescent="0.35">
      <c r="B65" s="68"/>
      <c r="C65" s="21" t="s">
        <v>58</v>
      </c>
      <c r="D65" s="9">
        <v>0</v>
      </c>
      <c r="E65" s="10"/>
      <c r="F65" s="10"/>
      <c r="G65" s="10"/>
      <c r="H65" s="10"/>
      <c r="I65" s="10">
        <v>1</v>
      </c>
      <c r="J65" s="11">
        <f>(D65*D$59)+(E65*E$59)+(F65*F$59)+(G65*G$59)+(H65*H$59)+(I65*I$59)</f>
        <v>-50</v>
      </c>
      <c r="K65" s="12" t="s">
        <v>258</v>
      </c>
      <c r="L65" s="12" t="s">
        <v>258</v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-50</v>
      </c>
      <c r="V65" s="28">
        <v>5</v>
      </c>
      <c r="W65" s="29">
        <v>45760</v>
      </c>
      <c r="X65" s="28">
        <v>-930</v>
      </c>
      <c r="Y65" s="28">
        <v>2395</v>
      </c>
      <c r="Z65" s="28">
        <v>-440</v>
      </c>
      <c r="AA65" s="28">
        <v>-1025</v>
      </c>
    </row>
    <row r="66" spans="2:27" ht="15" thickBot="1" x14ac:dyDescent="0.35">
      <c r="K66" s="2" t="s">
        <v>258</v>
      </c>
      <c r="L66" s="2" t="s">
        <v>258</v>
      </c>
      <c r="T66" s="37">
        <f>SUM(T61:T65)</f>
        <v>480</v>
      </c>
      <c r="V66" s="28">
        <v>6</v>
      </c>
      <c r="W66" s="29"/>
      <c r="X66" s="28"/>
      <c r="Y66" s="28"/>
      <c r="Z66" s="28"/>
      <c r="AA66" s="28"/>
    </row>
    <row r="67" spans="2:27" x14ac:dyDescent="0.3">
      <c r="B67" s="66" t="s">
        <v>96</v>
      </c>
      <c r="C67" s="39" t="s">
        <v>271</v>
      </c>
      <c r="D67" s="23">
        <v>41</v>
      </c>
      <c r="E67" s="6"/>
      <c r="F67" s="6">
        <v>2</v>
      </c>
      <c r="G67" s="6">
        <v>1</v>
      </c>
      <c r="H67" s="6"/>
      <c r="I67" s="6"/>
      <c r="J67" s="7">
        <f>(D67*D$59)+(E67*E$59)+(F67*F$59)+(G67*G$59)+(H67*H$59)+(I67*I$59)</f>
        <v>355</v>
      </c>
      <c r="K67" s="23">
        <v>50</v>
      </c>
      <c r="L67" s="23" t="s">
        <v>258</v>
      </c>
      <c r="M67" s="23"/>
      <c r="N67" s="23"/>
      <c r="O67" s="23"/>
      <c r="P67" s="6"/>
      <c r="Q67" s="6"/>
      <c r="R67" s="24">
        <f>SUM(K67:Q67)</f>
        <v>50</v>
      </c>
      <c r="T67" s="33">
        <f>(R67+J67)*2</f>
        <v>810</v>
      </c>
      <c r="V67" s="28">
        <v>7</v>
      </c>
      <c r="W67" s="29"/>
      <c r="X67" s="28"/>
      <c r="Y67" s="28"/>
      <c r="Z67" s="28"/>
      <c r="AA67" s="28"/>
    </row>
    <row r="68" spans="2:27" x14ac:dyDescent="0.3">
      <c r="B68" s="67"/>
      <c r="C68" s="19" t="s">
        <v>166</v>
      </c>
      <c r="D68" s="20">
        <v>2</v>
      </c>
      <c r="E68" s="1"/>
      <c r="F68" s="1"/>
      <c r="G68" s="1"/>
      <c r="H68" s="1"/>
      <c r="I68" s="1"/>
      <c r="J68" s="19">
        <f>(D68*D$59)+(E68*E$59)+(F68*F$59)+(G68*G$59)+(H68*H$59)+(I68*I$59)</f>
        <v>10</v>
      </c>
      <c r="K68" s="20" t="s">
        <v>258</v>
      </c>
      <c r="L68" s="20" t="s">
        <v>258</v>
      </c>
      <c r="M68" s="20"/>
      <c r="N68" s="20"/>
      <c r="O68" s="20"/>
      <c r="P68" s="1"/>
      <c r="Q68" s="1"/>
      <c r="R68" s="17">
        <f>SUM(K68:Q68)</f>
        <v>0</v>
      </c>
      <c r="T68" s="14">
        <f>R68+J68</f>
        <v>10</v>
      </c>
      <c r="V68" s="28">
        <v>8</v>
      </c>
      <c r="W68" s="29"/>
      <c r="X68" s="28"/>
      <c r="Y68" s="28"/>
      <c r="Z68" s="28"/>
      <c r="AA68" s="28"/>
    </row>
    <row r="69" spans="2:27" x14ac:dyDescent="0.3">
      <c r="B69" s="67"/>
      <c r="C69" s="19" t="s">
        <v>44</v>
      </c>
      <c r="D69" s="20">
        <v>9</v>
      </c>
      <c r="E69" s="1"/>
      <c r="F69" s="1"/>
      <c r="G69" s="1"/>
      <c r="H69" s="1"/>
      <c r="I69" s="1"/>
      <c r="J69" s="19">
        <f>(D69*D$59)+(E69*E$59)+(F69*F$59)+(G69*G$59)+(H69*H$59)+(I69*I$59)</f>
        <v>45</v>
      </c>
      <c r="K69" s="20" t="s">
        <v>258</v>
      </c>
      <c r="L69" s="20" t="s">
        <v>258</v>
      </c>
      <c r="M69" s="20"/>
      <c r="N69" s="20"/>
      <c r="O69" s="20"/>
      <c r="P69" s="1"/>
      <c r="Q69" s="1"/>
      <c r="R69" s="17">
        <f>SUM(K69:Q69)</f>
        <v>0</v>
      </c>
      <c r="T69" s="14">
        <f>R69+J69</f>
        <v>45</v>
      </c>
      <c r="V69" s="28"/>
      <c r="W69" s="29"/>
      <c r="X69" s="28"/>
      <c r="Y69" s="28"/>
      <c r="Z69" s="28"/>
      <c r="AA69" s="28"/>
    </row>
    <row r="70" spans="2:27" x14ac:dyDescent="0.3">
      <c r="B70" s="67"/>
      <c r="C70" s="19" t="s">
        <v>55</v>
      </c>
      <c r="D70" s="20">
        <v>59</v>
      </c>
      <c r="E70" s="1"/>
      <c r="F70" s="1"/>
      <c r="G70" s="1"/>
      <c r="H70" s="1"/>
      <c r="I70" s="1"/>
      <c r="J70" s="19">
        <f>(D70*D$59)+(E70*E$59)+(F70*F$59)+(G70*G$59)+(H70*H$59)+(I70*I$59)</f>
        <v>295</v>
      </c>
      <c r="K70" s="20">
        <v>150</v>
      </c>
      <c r="L70" s="20" t="s">
        <v>258</v>
      </c>
      <c r="M70" s="20"/>
      <c r="N70" s="20"/>
      <c r="O70" s="20"/>
      <c r="P70" s="1"/>
      <c r="Q70" s="1"/>
      <c r="R70" s="17">
        <f>SUM(K70:Q70)</f>
        <v>150</v>
      </c>
      <c r="T70" s="14">
        <f>R70+J70</f>
        <v>445</v>
      </c>
      <c r="V70" s="28"/>
      <c r="W70" s="29"/>
      <c r="X70" s="28"/>
      <c r="Y70" s="28"/>
      <c r="Z70" s="28"/>
      <c r="AA70" s="28"/>
    </row>
    <row r="71" spans="2:27" ht="15" thickBot="1" x14ac:dyDescent="0.35">
      <c r="B71" s="68"/>
      <c r="C71" s="11" t="s">
        <v>23</v>
      </c>
      <c r="D71" s="12"/>
      <c r="E71" s="10">
        <v>1</v>
      </c>
      <c r="F71" s="10"/>
      <c r="G71" s="10"/>
      <c r="H71" s="10"/>
      <c r="I71" s="10"/>
      <c r="J71" s="11">
        <f>(D71*D$59)+(E71*E$59)+(F71*F$59)+(G71*G$59)+(H71*H$59)+(I71*I$59)</f>
        <v>100</v>
      </c>
      <c r="K71" s="12" t="s">
        <v>258</v>
      </c>
      <c r="L71" s="12" t="s">
        <v>258</v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100</v>
      </c>
      <c r="V71" s="28"/>
      <c r="W71" s="29"/>
      <c r="X71" s="28"/>
      <c r="Y71" s="28"/>
      <c r="Z71" s="28"/>
      <c r="AA71" s="28"/>
    </row>
    <row r="72" spans="2:27" ht="15" thickBot="1" x14ac:dyDescent="0.35">
      <c r="K72" s="2" t="s">
        <v>258</v>
      </c>
      <c r="L72" s="2" t="s">
        <v>258</v>
      </c>
      <c r="T72" s="37">
        <f>SUM(T67:T71)</f>
        <v>1410</v>
      </c>
      <c r="V72" s="28"/>
      <c r="W72" s="29"/>
      <c r="X72" s="28"/>
      <c r="Y72" s="28"/>
      <c r="Z72" s="28"/>
      <c r="AA72" s="28"/>
    </row>
    <row r="73" spans="2:27" x14ac:dyDescent="0.3">
      <c r="B73" s="66" t="s">
        <v>97</v>
      </c>
      <c r="C73" s="39" t="s">
        <v>256</v>
      </c>
      <c r="D73" s="23">
        <v>15</v>
      </c>
      <c r="E73" s="6"/>
      <c r="F73" s="6"/>
      <c r="G73" s="6"/>
      <c r="H73" s="6"/>
      <c r="I73" s="6"/>
      <c r="J73" s="7">
        <f>(D73*D$59)+(E73*E$59)+(F73*F$59)+(G73*G$59)+(H73*H$59)+(I73*I$59)</f>
        <v>75</v>
      </c>
      <c r="K73" s="23" t="s">
        <v>258</v>
      </c>
      <c r="L73" s="23" t="s">
        <v>258</v>
      </c>
      <c r="M73" s="23"/>
      <c r="N73" s="23"/>
      <c r="O73" s="23"/>
      <c r="P73" s="6"/>
      <c r="Q73" s="6"/>
      <c r="R73" s="24">
        <f>SUM(K73:Q73)</f>
        <v>0</v>
      </c>
      <c r="T73" s="33">
        <f>(R73+J73)*2</f>
        <v>150</v>
      </c>
      <c r="V73" s="28"/>
      <c r="W73" s="29"/>
      <c r="X73" s="28"/>
      <c r="Y73" s="28"/>
      <c r="Z73" s="28"/>
      <c r="AA73" s="28"/>
    </row>
    <row r="74" spans="2:27" x14ac:dyDescent="0.3">
      <c r="B74" s="67"/>
      <c r="C74" s="19" t="s">
        <v>70</v>
      </c>
      <c r="D74" s="20">
        <v>40</v>
      </c>
      <c r="E74" s="1"/>
      <c r="F74" s="1"/>
      <c r="G74" s="1"/>
      <c r="H74" s="1">
        <v>1</v>
      </c>
      <c r="I74" s="1"/>
      <c r="J74" s="19">
        <f>(D74*D$59)+(E74*E$59)+(F74*F$59)+(G74*G$59)+(H74*H$59)+(I74*I$59)</f>
        <v>250</v>
      </c>
      <c r="K74" s="20">
        <v>50</v>
      </c>
      <c r="L74" s="20" t="s">
        <v>258</v>
      </c>
      <c r="M74" s="20"/>
      <c r="N74" s="20"/>
      <c r="O74" s="20"/>
      <c r="P74" s="1"/>
      <c r="Q74" s="1"/>
      <c r="R74" s="17">
        <f>SUM(K74:Q74)</f>
        <v>50</v>
      </c>
      <c r="T74" s="14">
        <f>R74+J74</f>
        <v>300</v>
      </c>
      <c r="V74" s="28"/>
      <c r="W74" s="29"/>
      <c r="X74" s="28"/>
      <c r="Y74" s="28"/>
      <c r="Z74" s="28"/>
      <c r="AA74" s="28"/>
    </row>
    <row r="75" spans="2:27" x14ac:dyDescent="0.3">
      <c r="B75" s="67"/>
      <c r="C75" s="19" t="s">
        <v>240</v>
      </c>
      <c r="D75" s="20"/>
      <c r="E75" s="1">
        <v>1</v>
      </c>
      <c r="F75" s="1"/>
      <c r="G75" s="1"/>
      <c r="H75" s="1"/>
      <c r="I75" s="1"/>
      <c r="J75" s="19">
        <f>(D75*D$59)+(E75*E$59)+(F75*F$59)+(G75*G$59)+(H75*H$59)+(I75*I$59)</f>
        <v>100</v>
      </c>
      <c r="K75" s="20" t="s">
        <v>258</v>
      </c>
      <c r="L75" s="20" t="s">
        <v>258</v>
      </c>
      <c r="M75" s="20"/>
      <c r="N75" s="20"/>
      <c r="O75" s="20"/>
      <c r="P75" s="1"/>
      <c r="Q75" s="1"/>
      <c r="R75" s="17">
        <f>SUM(K75:Q75)</f>
        <v>0</v>
      </c>
      <c r="T75" s="14">
        <f>R75+J75</f>
        <v>100</v>
      </c>
      <c r="V75" s="28"/>
      <c r="W75" s="29"/>
      <c r="X75" s="28"/>
      <c r="Y75" s="28"/>
      <c r="Z75" s="28"/>
      <c r="AA75" s="28"/>
    </row>
    <row r="76" spans="2:27" x14ac:dyDescent="0.3">
      <c r="B76" s="67"/>
      <c r="C76" s="19" t="s">
        <v>175</v>
      </c>
      <c r="D76" s="20">
        <v>14</v>
      </c>
      <c r="E76" s="1">
        <v>2</v>
      </c>
      <c r="F76" s="1"/>
      <c r="G76" s="1"/>
      <c r="H76" s="1"/>
      <c r="I76" s="1"/>
      <c r="J76" s="19">
        <f>(D76*D$59)+(E76*E$59)+(F76*F$59)+(G76*G$59)+(H76*H$59)+(I76*I$59)</f>
        <v>270</v>
      </c>
      <c r="K76" s="20" t="s">
        <v>258</v>
      </c>
      <c r="L76" s="20">
        <v>50</v>
      </c>
      <c r="M76" s="20"/>
      <c r="N76" s="20"/>
      <c r="O76" s="20"/>
      <c r="P76" s="1"/>
      <c r="Q76" s="1"/>
      <c r="R76" s="17">
        <f>SUM(K76:Q76)</f>
        <v>50</v>
      </c>
      <c r="T76" s="14">
        <f>R76+J76</f>
        <v>320</v>
      </c>
      <c r="V76" s="28"/>
      <c r="W76" s="29"/>
      <c r="X76" s="28"/>
      <c r="Y76" s="28"/>
      <c r="Z76" s="28"/>
      <c r="AA76" s="28"/>
    </row>
    <row r="77" spans="2:27" ht="15" thickBot="1" x14ac:dyDescent="0.35">
      <c r="B77" s="68"/>
      <c r="C77" s="11" t="s">
        <v>62</v>
      </c>
      <c r="D77" s="12"/>
      <c r="E77" s="10">
        <v>1</v>
      </c>
      <c r="F77" s="10"/>
      <c r="G77" s="10"/>
      <c r="H77" s="10"/>
      <c r="I77" s="10"/>
      <c r="J77" s="11">
        <f>(D77*D$59)+(E77*E$59)+(F77*F$59)+(G77*G$59)+(H77*H$59)+(I77*I$59)</f>
        <v>100</v>
      </c>
      <c r="K77" s="12" t="s">
        <v>258</v>
      </c>
      <c r="L77" s="12" t="s">
        <v>258</v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100</v>
      </c>
      <c r="V77" s="28"/>
      <c r="W77" s="29"/>
      <c r="X77" s="28"/>
      <c r="Y77" s="28"/>
      <c r="Z77" s="28"/>
      <c r="AA77" s="28"/>
    </row>
    <row r="78" spans="2:27" ht="15" thickBot="1" x14ac:dyDescent="0.35">
      <c r="K78" s="2" t="s">
        <v>258</v>
      </c>
      <c r="L78" s="2" t="s">
        <v>258</v>
      </c>
      <c r="T78" s="37">
        <f>SUM(T73:T77)</f>
        <v>970</v>
      </c>
      <c r="V78" s="28"/>
      <c r="W78" s="29"/>
      <c r="X78" s="28"/>
      <c r="Y78" s="28"/>
      <c r="Z78" s="28"/>
      <c r="AA78" s="28"/>
    </row>
    <row r="79" spans="2:27" x14ac:dyDescent="0.3">
      <c r="B79" s="66" t="s">
        <v>98</v>
      </c>
      <c r="C79" s="39" t="s">
        <v>81</v>
      </c>
      <c r="D79" s="23">
        <v>0</v>
      </c>
      <c r="E79" s="6"/>
      <c r="F79" s="6"/>
      <c r="G79" s="6"/>
      <c r="H79" s="6"/>
      <c r="I79" s="6">
        <v>1</v>
      </c>
      <c r="J79" s="7">
        <f>(D79*D$59)+(E79*E$59)+(F79*F$59)+(G79*G$59)+(H79*H$59)+(I79*I$59)</f>
        <v>-50</v>
      </c>
      <c r="K79" s="23" t="s">
        <v>258</v>
      </c>
      <c r="L79" s="23" t="s">
        <v>258</v>
      </c>
      <c r="M79" s="23"/>
      <c r="N79" s="23"/>
      <c r="O79" s="23"/>
      <c r="P79" s="6"/>
      <c r="Q79" s="6"/>
      <c r="R79" s="24">
        <f>SUM(K79:Q79)</f>
        <v>0</v>
      </c>
      <c r="T79" s="33">
        <f>(R79+J79)*2</f>
        <v>-100</v>
      </c>
      <c r="V79" s="28"/>
      <c r="W79" s="29"/>
      <c r="X79" s="28"/>
      <c r="Y79" s="28"/>
      <c r="Z79" s="28"/>
      <c r="AA79" s="28"/>
    </row>
    <row r="80" spans="2:27" x14ac:dyDescent="0.3">
      <c r="B80" s="67"/>
      <c r="C80" s="19" t="s">
        <v>57</v>
      </c>
      <c r="D80" s="20">
        <v>18</v>
      </c>
      <c r="E80" s="1"/>
      <c r="F80" s="1"/>
      <c r="G80" s="1"/>
      <c r="H80" s="1"/>
      <c r="I80" s="1"/>
      <c r="J80" s="19">
        <f>(D80*D$59)+(E80*E$59)+(F80*F$59)+(G80*G$59)+(H80*H$59)+(I80*I$59)</f>
        <v>90</v>
      </c>
      <c r="K80" s="20" t="s">
        <v>258</v>
      </c>
      <c r="L80" s="20" t="s">
        <v>258</v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90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47</v>
      </c>
      <c r="D81" s="20">
        <v>1</v>
      </c>
      <c r="E81" s="1"/>
      <c r="F81" s="1"/>
      <c r="G81" s="1"/>
      <c r="H81" s="1">
        <v>1</v>
      </c>
      <c r="I81" s="1"/>
      <c r="J81" s="19">
        <f>(D81*D$59)+(E81*E$59)+(F81*F$59)+(G81*G$59)+(H81*H$59)+(I81*I$59)</f>
        <v>55</v>
      </c>
      <c r="K81" s="20" t="s">
        <v>258</v>
      </c>
      <c r="L81" s="20" t="s">
        <v>258</v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55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41</v>
      </c>
      <c r="D82" s="20">
        <v>1</v>
      </c>
      <c r="E82" s="1">
        <v>2</v>
      </c>
      <c r="F82" s="1"/>
      <c r="G82" s="1"/>
      <c r="H82" s="1"/>
      <c r="I82" s="1"/>
      <c r="J82" s="19">
        <f>(D82*D$59)+(E82*E$59)+(F82*F$59)+(G82*G$59)+(H82*H$59)+(I82*I$59)</f>
        <v>205</v>
      </c>
      <c r="K82" s="20" t="s">
        <v>258</v>
      </c>
      <c r="L82" s="20">
        <v>50</v>
      </c>
      <c r="M82" s="20" t="s">
        <v>258</v>
      </c>
      <c r="N82" s="20"/>
      <c r="O82" s="20"/>
      <c r="P82" s="1"/>
      <c r="Q82" s="1"/>
      <c r="R82" s="17">
        <f>SUM(K82:Q82)</f>
        <v>50</v>
      </c>
      <c r="T82" s="14">
        <f>R82+J82</f>
        <v>255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83</v>
      </c>
      <c r="D83" s="12">
        <v>17</v>
      </c>
      <c r="E83" s="10"/>
      <c r="F83" s="10"/>
      <c r="G83" s="10"/>
      <c r="H83" s="10"/>
      <c r="I83" s="10"/>
      <c r="J83" s="11">
        <f>(D83*D$59)+(E83*E$59)+(F83*F$59)+(G83*G$59)+(H83*H$59)+(I83*I$59)</f>
        <v>85</v>
      </c>
      <c r="K83" s="12" t="s">
        <v>258</v>
      </c>
      <c r="L83" s="12" t="s">
        <v>258</v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85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385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AJ84"/>
  <sheetViews>
    <sheetView topLeftCell="B58" zoomScale="90" zoomScaleNormal="90" workbookViewId="0">
      <selection activeCell="X63" sqref="X63:AA63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4755</v>
      </c>
      <c r="Y28" s="42">
        <f>SUM(Y29:Y36)</f>
        <v>-1690</v>
      </c>
      <c r="Z28" s="42">
        <f>SUM(Z29:Z36)</f>
        <v>-2050</v>
      </c>
      <c r="AA28" s="42">
        <f>SUM(AA29:AA36)</f>
        <v>-1015</v>
      </c>
    </row>
    <row r="29" spans="2:36" x14ac:dyDescent="0.3">
      <c r="B29" s="66" t="s">
        <v>211</v>
      </c>
      <c r="C29" s="58" t="s">
        <v>289</v>
      </c>
      <c r="D29" s="5">
        <v>97</v>
      </c>
      <c r="E29" s="6"/>
      <c r="F29" s="6"/>
      <c r="G29" s="6"/>
      <c r="H29" s="6">
        <v>2</v>
      </c>
      <c r="I29" s="6"/>
      <c r="J29" s="7">
        <f>(D29*D$59)+(E29*E$59)+(F29*F$59)+(G29*G$59)+(H29*H$59)+(I29*I$59)</f>
        <v>585</v>
      </c>
      <c r="K29" s="15">
        <f>IF(D29&gt;=100, 250, IF(D29&gt;=50, 150, IF(D29&gt;=30, 50, "")))</f>
        <v>150</v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150</v>
      </c>
      <c r="T29" s="14">
        <f>(R29+J29)*2</f>
        <v>1470</v>
      </c>
      <c r="V29" s="28">
        <v>1</v>
      </c>
      <c r="W29" s="29">
        <v>45764</v>
      </c>
      <c r="X29" s="28">
        <v>-5</v>
      </c>
      <c r="Y29" s="28">
        <v>-330</v>
      </c>
      <c r="Z29" s="28">
        <v>-140</v>
      </c>
      <c r="AA29" s="28">
        <v>475</v>
      </c>
    </row>
    <row r="30" spans="2:36" x14ac:dyDescent="0.3">
      <c r="B30" s="67"/>
      <c r="C30" s="4" t="s">
        <v>45</v>
      </c>
      <c r="D30" s="18">
        <v>31</v>
      </c>
      <c r="E30" s="1"/>
      <c r="F30" s="1"/>
      <c r="G30" s="1"/>
      <c r="H30" s="1">
        <v>1</v>
      </c>
      <c r="I30" s="1"/>
      <c r="J30" s="19">
        <f>(D30*D$59)+(E30*E$59)+(F30*F$59)+(G30*G$59)+(H30*H$59)+(I30*I$59)</f>
        <v>205</v>
      </c>
      <c r="K30" s="15">
        <f t="shared" ref="K30:K33" si="0">IF(D30&gt;=100, 250, IF(D30&gt;=50, 150, IF(D30&gt;=30, 50, "")))</f>
        <v>50</v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50</v>
      </c>
      <c r="T30" s="14">
        <f>R30+J30</f>
        <v>255</v>
      </c>
      <c r="V30" s="28">
        <v>2</v>
      </c>
      <c r="W30" s="29">
        <v>45766</v>
      </c>
      <c r="X30" s="45">
        <f>-(Y30+Z30+AA30)</f>
        <v>4760</v>
      </c>
      <c r="Y30" s="45">
        <f>T40-T34</f>
        <v>-1360</v>
      </c>
      <c r="Z30" s="45">
        <f>T46-T34</f>
        <v>-1910</v>
      </c>
      <c r="AA30" s="45">
        <f>T52-T34</f>
        <v>-1490</v>
      </c>
    </row>
    <row r="31" spans="2:36" x14ac:dyDescent="0.3">
      <c r="B31" s="67"/>
      <c r="C31" s="4" t="s">
        <v>132</v>
      </c>
      <c r="D31" s="18"/>
      <c r="E31" s="1">
        <v>4</v>
      </c>
      <c r="F31" s="1"/>
      <c r="G31" s="1"/>
      <c r="H31" s="1">
        <v>1</v>
      </c>
      <c r="I31" s="1"/>
      <c r="J31" s="19">
        <f>(D31*D$59)+(E31*E$59)+(F31*F$59)+(G31*G$59)+(H31*H$59)+(I31*I$59)</f>
        <v>450</v>
      </c>
      <c r="K31" s="15" t="str">
        <f t="shared" si="0"/>
        <v/>
      </c>
      <c r="L31" s="20">
        <v>150</v>
      </c>
      <c r="M31" s="20" t="s">
        <v>258</v>
      </c>
      <c r="N31" s="20"/>
      <c r="O31" s="20"/>
      <c r="P31" s="1"/>
      <c r="Q31" s="1"/>
      <c r="R31" s="17">
        <f>SUM(K31:Q31)</f>
        <v>150</v>
      </c>
      <c r="T31" s="14">
        <f>R31+J31</f>
        <v>600</v>
      </c>
      <c r="V31" s="28">
        <v>3</v>
      </c>
      <c r="W31" s="44"/>
      <c r="X31" s="28"/>
      <c r="Y31" s="28"/>
      <c r="Z31" s="28"/>
      <c r="AA31" s="28"/>
    </row>
    <row r="32" spans="2:36" x14ac:dyDescent="0.3">
      <c r="B32" s="67"/>
      <c r="C32" s="4" t="s">
        <v>137</v>
      </c>
      <c r="D32" s="18"/>
      <c r="E32" s="1"/>
      <c r="F32" s="1"/>
      <c r="G32" s="1"/>
      <c r="H32" s="1"/>
      <c r="I32" s="1"/>
      <c r="J32" s="19">
        <f>(D32*D$59)+(E32*E$59)+(F32*F$59)+(G32*G$59)+(H32*H$59)+(I32*I$59)</f>
        <v>0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0</v>
      </c>
      <c r="V32" s="28">
        <v>4</v>
      </c>
      <c r="W32" s="44"/>
      <c r="X32" s="28"/>
      <c r="Y32" s="28"/>
      <c r="Z32" s="28"/>
      <c r="AA32" s="28"/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62</v>
      </c>
      <c r="D33" s="9"/>
      <c r="E33" s="10">
        <v>1</v>
      </c>
      <c r="F33" s="10"/>
      <c r="G33" s="10"/>
      <c r="H33" s="10"/>
      <c r="I33" s="10"/>
      <c r="J33" s="11">
        <f>(D33*D$59)+(E33*E$59)+(F33*F$59)+(G33*G$59)+(H33*H$59)+(I33*I$59)</f>
        <v>100</v>
      </c>
      <c r="K33" s="12" t="str">
        <f t="shared" si="0"/>
        <v/>
      </c>
      <c r="L33" s="12" t="str">
        <f t="shared" si="1"/>
        <v/>
      </c>
      <c r="M33" s="12" t="s">
        <v>258</v>
      </c>
      <c r="N33" s="12"/>
      <c r="O33" s="12"/>
      <c r="P33" s="10"/>
      <c r="Q33" s="10"/>
      <c r="R33" s="13">
        <f>SUM(K33:Q33)</f>
        <v>0</v>
      </c>
      <c r="T33" s="22">
        <f>(R33+J33)</f>
        <v>100</v>
      </c>
      <c r="V33" s="28">
        <v>5</v>
      </c>
      <c r="W33" s="29"/>
      <c r="X33" s="28"/>
      <c r="Y33" s="28"/>
      <c r="Z33" s="28"/>
      <c r="AA33" s="28"/>
      <c r="AC33" s="28" t="s">
        <v>211</v>
      </c>
      <c r="AD33" s="28">
        <f>T34</f>
        <v>2425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51">
        <f>SUM(T29:T33)</f>
        <v>2425</v>
      </c>
      <c r="V34" s="28">
        <v>6</v>
      </c>
      <c r="W34" s="29"/>
      <c r="X34" s="28"/>
      <c r="Y34" s="28"/>
      <c r="Z34" s="28"/>
      <c r="AA34" s="28"/>
      <c r="AC34" s="28" t="s">
        <v>96</v>
      </c>
      <c r="AD34" s="28">
        <f>T40</f>
        <v>1065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59" t="s">
        <v>288</v>
      </c>
      <c r="D35" s="23">
        <v>36</v>
      </c>
      <c r="E35" s="6"/>
      <c r="F35" s="6"/>
      <c r="G35" s="6"/>
      <c r="H35" s="6"/>
      <c r="I35" s="6"/>
      <c r="J35" s="7">
        <f>(D35*D$59)+(E35*E$59)+(F35*F$59)+(G35*G$59)+(H35*H$59)+(I35*I$59)</f>
        <v>180</v>
      </c>
      <c r="K35" s="23">
        <f t="shared" ref="K35:K39" si="2">IF(D35&gt;=100, 250, IF(D35&gt;=50, 150, IF(D35&gt;=30, 50, "")))</f>
        <v>50</v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50</v>
      </c>
      <c r="T35" s="33">
        <f>(R35+J35)*2</f>
        <v>460</v>
      </c>
      <c r="V35" s="28">
        <v>7</v>
      </c>
      <c r="W35" s="29"/>
      <c r="X35" s="28"/>
      <c r="Y35" s="28"/>
      <c r="Z35" s="28"/>
      <c r="AA35" s="28"/>
      <c r="AC35" s="28" t="s">
        <v>97</v>
      </c>
      <c r="AD35" s="28">
        <f>T46</f>
        <v>515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44</v>
      </c>
      <c r="D36" s="20">
        <v>38</v>
      </c>
      <c r="E36" s="1"/>
      <c r="F36" s="1"/>
      <c r="G36" s="1"/>
      <c r="H36" s="1"/>
      <c r="I36" s="1"/>
      <c r="J36" s="19">
        <f>(D36*D$59)+(E36*E$59)+(F36*F$59)+(G36*G$59)+(H36*H$59)+(I36*I$59)</f>
        <v>190</v>
      </c>
      <c r="K36" s="15">
        <f t="shared" si="2"/>
        <v>50</v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50</v>
      </c>
      <c r="T36" s="14">
        <f>R36+J36</f>
        <v>240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935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255</v>
      </c>
      <c r="D37" s="20">
        <v>43</v>
      </c>
      <c r="E37" s="1"/>
      <c r="F37" s="1"/>
      <c r="G37" s="1"/>
      <c r="H37" s="1"/>
      <c r="I37" s="1"/>
      <c r="J37" s="19">
        <f>(D37*D$59)+(E37*E$59)+(F37*F$59)+(G37*G$59)+(H37*H$59)+(I37*I$59)</f>
        <v>215</v>
      </c>
      <c r="K37" s="15">
        <f t="shared" si="2"/>
        <v>50</v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50</v>
      </c>
      <c r="T37" s="14">
        <f>R37+J37</f>
        <v>265</v>
      </c>
      <c r="V37" s="28"/>
      <c r="W37" s="29"/>
      <c r="X37" s="28"/>
      <c r="Y37" s="28"/>
      <c r="Z37" s="28"/>
      <c r="AA37" s="28"/>
      <c r="AF37" s="49" t="s">
        <v>284</v>
      </c>
      <c r="AG37" s="49">
        <f>X28</f>
        <v>4755</v>
      </c>
      <c r="AH37" s="49">
        <f>Y28</f>
        <v>-1690</v>
      </c>
      <c r="AI37" s="49">
        <f>Z28</f>
        <v>-2050</v>
      </c>
      <c r="AJ37" s="49">
        <f>AA28</f>
        <v>-1015</v>
      </c>
    </row>
    <row r="38" spans="2:36" x14ac:dyDescent="0.3">
      <c r="B38" s="67"/>
      <c r="C38" s="19" t="s">
        <v>175</v>
      </c>
      <c r="D38" s="20">
        <v>0</v>
      </c>
      <c r="E38" s="1"/>
      <c r="F38" s="1"/>
      <c r="G38" s="1"/>
      <c r="H38" s="1"/>
      <c r="I38" s="1">
        <v>1</v>
      </c>
      <c r="J38" s="19">
        <f>(D38*D$59)+(E38*E$59)+(F38*F$59)+(G38*G$59)+(H38*H$59)+(I38*I$59)</f>
        <v>-50</v>
      </c>
      <c r="K38" s="15" t="str">
        <f t="shared" si="2"/>
        <v/>
      </c>
      <c r="L38" s="20" t="str">
        <f t="shared" si="3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-50</v>
      </c>
      <c r="V38" s="28"/>
      <c r="W38" s="29"/>
      <c r="X38" s="28"/>
      <c r="Y38" s="28"/>
      <c r="Z38" s="28"/>
      <c r="AA38" s="28"/>
      <c r="AF38" s="49" t="s">
        <v>0</v>
      </c>
      <c r="AG38" s="49">
        <f>SUM(AG33:AG37)</f>
        <v>10470</v>
      </c>
      <c r="AH38" s="49">
        <f t="shared" ref="AH38:AJ38" si="4">SUM(AH33:AH37)</f>
        <v>3385</v>
      </c>
      <c r="AI38" s="49">
        <f t="shared" si="4"/>
        <v>4090</v>
      </c>
      <c r="AJ38" s="49">
        <f t="shared" si="4"/>
        <v>-17945</v>
      </c>
    </row>
    <row r="39" spans="2:36" ht="15" thickBot="1" x14ac:dyDescent="0.35">
      <c r="B39" s="68"/>
      <c r="C39" s="11" t="s">
        <v>197</v>
      </c>
      <c r="D39" s="12"/>
      <c r="E39" s="10">
        <v>1</v>
      </c>
      <c r="F39" s="10"/>
      <c r="G39" s="10"/>
      <c r="H39" s="10">
        <v>1</v>
      </c>
      <c r="I39" s="10"/>
      <c r="J39" s="11">
        <f>(D39*D$59)+(E39*E$59)+(F39*F$59)+(G39*G$59)+(H39*H$59)+(I39*I$59)</f>
        <v>150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150</v>
      </c>
      <c r="V39" s="28"/>
      <c r="W39" s="29"/>
      <c r="X39" s="28"/>
      <c r="Y39" s="28"/>
      <c r="Z39" s="28"/>
      <c r="AA39" s="28"/>
    </row>
    <row r="40" spans="2:36" ht="15" thickBot="1" x14ac:dyDescent="0.35">
      <c r="K40" s="2" t="s">
        <v>258</v>
      </c>
      <c r="L40" s="2" t="s">
        <v>258</v>
      </c>
      <c r="T40" s="51">
        <f>SUM(T35:T39)</f>
        <v>1065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59" t="s">
        <v>120</v>
      </c>
      <c r="D41" s="23">
        <v>7</v>
      </c>
      <c r="E41" s="6"/>
      <c r="F41" s="6"/>
      <c r="G41" s="6"/>
      <c r="H41" s="6"/>
      <c r="I41" s="6"/>
      <c r="J41" s="7">
        <f>(D41*D$59)+(E41*E$59)+(F41*F$59)+(G41*G$59)+(H41*H$59)+(I41*I$59)</f>
        <v>35</v>
      </c>
      <c r="K41" s="23" t="str">
        <f t="shared" ref="K41:K45" si="5">IF(D41&gt;=100, 250, IF(D41&gt;=50, 150, IF(D41&gt;=30, 50, "")))</f>
        <v/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0</v>
      </c>
      <c r="T41" s="33">
        <f>(R41+J41)*2</f>
        <v>70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71</v>
      </c>
      <c r="D42" s="20">
        <v>18</v>
      </c>
      <c r="E42" s="1"/>
      <c r="F42" s="1"/>
      <c r="G42" s="1"/>
      <c r="H42" s="1"/>
      <c r="I42" s="1"/>
      <c r="J42" s="19">
        <f>(D42*D$59)+(E42*E$59)+(F42*F$59)+(G42*G$59)+(H42*H$59)+(I42*I$59)</f>
        <v>90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90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41</v>
      </c>
      <c r="D43" s="20">
        <v>4</v>
      </c>
      <c r="E43" s="1">
        <v>1</v>
      </c>
      <c r="F43" s="1"/>
      <c r="G43" s="1"/>
      <c r="H43" s="1"/>
      <c r="I43" s="1"/>
      <c r="J43" s="19">
        <f>(D43*D$59)+(E43*E$59)+(F43*F$59)+(G43*G$59)+(H43*H$59)+(I43*I$59)</f>
        <v>120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120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135</v>
      </c>
      <c r="D44" s="20"/>
      <c r="E44" s="1"/>
      <c r="F44" s="1"/>
      <c r="G44" s="1"/>
      <c r="H44" s="1"/>
      <c r="I44" s="1"/>
      <c r="J44" s="19">
        <f>(D44*D$59)+(E44*E$59)+(F44*F$59)+(G44*G$59)+(H44*H$59)+(I44*I$59)</f>
        <v>0</v>
      </c>
      <c r="K44" s="15" t="str">
        <f t="shared" si="5"/>
        <v/>
      </c>
      <c r="L44" s="20" t="str">
        <f t="shared" si="6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287</v>
      </c>
      <c r="D45" s="12">
        <v>37</v>
      </c>
      <c r="E45" s="10"/>
      <c r="F45" s="10"/>
      <c r="G45" s="10"/>
      <c r="H45" s="10"/>
      <c r="I45" s="10"/>
      <c r="J45" s="11">
        <f>(D45*D$59)+(E45*E$59)+(F45*F$59)+(G45*G$59)+(H45*H$59)+(I45*I$59)</f>
        <v>185</v>
      </c>
      <c r="K45" s="12">
        <f t="shared" si="5"/>
        <v>50</v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50</v>
      </c>
      <c r="T45" s="34">
        <f>R45+J45</f>
        <v>235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51">
        <f>SUM(T41:T45)</f>
        <v>515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59" t="s">
        <v>256</v>
      </c>
      <c r="D47" s="23">
        <v>28</v>
      </c>
      <c r="E47" s="6"/>
      <c r="F47" s="6"/>
      <c r="G47" s="6"/>
      <c r="H47" s="6"/>
      <c r="I47" s="6"/>
      <c r="J47" s="7">
        <f>(D47*D$59)+(E47*E$59)+(F47*F$59)+(G47*G$59)+(H47*H$59)+(I47*I$59)</f>
        <v>140</v>
      </c>
      <c r="K47" s="23" t="str">
        <f t="shared" ref="K47:K51" si="7">IF(D47&gt;=100, 250, IF(D47&gt;=50, 150, IF(D47&gt;=30, 50, "")))</f>
        <v/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0</v>
      </c>
      <c r="T47" s="33">
        <f>(R47+J47)*2</f>
        <v>280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281</v>
      </c>
      <c r="D48" s="20">
        <v>31</v>
      </c>
      <c r="E48" s="1"/>
      <c r="F48" s="1">
        <v>2</v>
      </c>
      <c r="G48" s="1"/>
      <c r="H48" s="1"/>
      <c r="I48" s="1"/>
      <c r="J48" s="19">
        <f>(D48*D$59)+(E48*E$59)+(F48*F$59)+(G48*G$59)+(H48*H$59)+(I48*I$59)</f>
        <v>255</v>
      </c>
      <c r="K48" s="15">
        <f t="shared" si="7"/>
        <v>50</v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50</v>
      </c>
      <c r="T48" s="14">
        <f>R48+J48</f>
        <v>305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47</v>
      </c>
      <c r="D49" s="20"/>
      <c r="E49" s="1"/>
      <c r="F49" s="1"/>
      <c r="G49" s="1"/>
      <c r="H49" s="1">
        <v>1</v>
      </c>
      <c r="I49" s="1"/>
      <c r="J49" s="19">
        <f>(D49*D$59)+(E49*E$59)+(F49*F$59)+(G49*G$59)+(H49*H$59)+(I49*I$59)</f>
        <v>50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50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21</v>
      </c>
      <c r="D50" s="20"/>
      <c r="E50" s="1">
        <v>1</v>
      </c>
      <c r="F50" s="1"/>
      <c r="G50" s="1"/>
      <c r="H50" s="1">
        <v>1</v>
      </c>
      <c r="I50" s="1"/>
      <c r="J50" s="19">
        <f>(D50*D$59)+(E50*E$59)+(F50*F$59)+(G50*G$59)+(H50*H$59)+(I50*I$59)</f>
        <v>150</v>
      </c>
      <c r="K50" s="15" t="str">
        <f t="shared" si="7"/>
        <v/>
      </c>
      <c r="L50" s="20" t="str">
        <f t="shared" si="8"/>
        <v/>
      </c>
      <c r="M50" s="20" t="s">
        <v>258</v>
      </c>
      <c r="N50" s="20"/>
      <c r="O50" s="20"/>
      <c r="P50" s="1"/>
      <c r="Q50" s="1"/>
      <c r="R50" s="17">
        <f>SUM(K50:Q50)</f>
        <v>0</v>
      </c>
      <c r="T50" s="14">
        <f>R50+J50</f>
        <v>150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286</v>
      </c>
      <c r="D51" s="12"/>
      <c r="E51" s="10">
        <v>1</v>
      </c>
      <c r="F51" s="10"/>
      <c r="G51" s="10"/>
      <c r="H51" s="10">
        <v>1</v>
      </c>
      <c r="I51" s="10"/>
      <c r="J51" s="11">
        <f>(D51*D$59)+(E51*E$59)+(F51*F$59)+(G51*G$59)+(H51*H$59)+(I51*I$59)</f>
        <v>150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150</v>
      </c>
      <c r="V51" s="28"/>
      <c r="W51" s="29"/>
      <c r="X51" s="28"/>
      <c r="Y51" s="28"/>
      <c r="Z51" s="28"/>
      <c r="AA51" s="28"/>
    </row>
    <row r="52" spans="2:30" ht="15" thickBot="1" x14ac:dyDescent="0.35">
      <c r="T52" s="51">
        <f>SUM(T47:T51)</f>
        <v>935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95</v>
      </c>
      <c r="Y59" s="35" t="s">
        <v>96</v>
      </c>
      <c r="Z59" s="35" t="s">
        <v>97</v>
      </c>
      <c r="AA59" s="35" t="s">
        <v>98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7090</v>
      </c>
      <c r="Y60" s="42">
        <f>SUM(Y61:Y68)</f>
        <v>-2840</v>
      </c>
      <c r="Z60" s="42">
        <f>SUM(Z61:Z68)</f>
        <v>-3040</v>
      </c>
      <c r="AA60" s="42">
        <f>SUM(AA61:AA68)</f>
        <v>-1210</v>
      </c>
    </row>
    <row r="61" spans="2:30" x14ac:dyDescent="0.3">
      <c r="B61" s="66" t="s">
        <v>211</v>
      </c>
      <c r="C61" s="38" t="s">
        <v>151</v>
      </c>
      <c r="D61" s="5">
        <v>66</v>
      </c>
      <c r="E61" s="6">
        <v>1</v>
      </c>
      <c r="F61" s="6"/>
      <c r="G61" s="6"/>
      <c r="H61" s="6"/>
      <c r="I61" s="6"/>
      <c r="J61" s="7">
        <f>(D61*D$59)+(E61*E$59)+(F61*F$59)+(G61*G$59)+(H61*H$59)+(I61*I$59)</f>
        <v>430</v>
      </c>
      <c r="K61" s="15">
        <f>IF(D61&gt;=100, 250, IF(D61&gt;=50, 150, IF(D61&gt;=30, 50, "")))</f>
        <v>150</v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150</v>
      </c>
      <c r="T61" s="14">
        <f>(R61+J61)*2</f>
        <v>1160</v>
      </c>
      <c r="V61" s="28">
        <v>1</v>
      </c>
      <c r="W61" s="29">
        <v>45764</v>
      </c>
      <c r="X61" s="28">
        <v>-5</v>
      </c>
      <c r="Y61" s="28">
        <v>-330</v>
      </c>
      <c r="Z61" s="28">
        <v>-140</v>
      </c>
      <c r="AA61" s="28">
        <v>475</v>
      </c>
    </row>
    <row r="62" spans="2:30" x14ac:dyDescent="0.3">
      <c r="B62" s="67"/>
      <c r="C62" s="4" t="s">
        <v>78</v>
      </c>
      <c r="D62" s="18">
        <v>8</v>
      </c>
      <c r="E62" s="1"/>
      <c r="F62" s="1"/>
      <c r="G62" s="1"/>
      <c r="H62" s="1"/>
      <c r="I62" s="1"/>
      <c r="J62" s="19">
        <f>(D62*D$59)+(E62*E$59)+(F62*F$59)+(G62*G$59)+(H62*H$59)+(I62*I$59)</f>
        <v>40</v>
      </c>
      <c r="K62" s="15" t="str">
        <f t="shared" ref="K62:K65" si="9">IF(D62&gt;=100, 250, IF(D62&gt;=50, 150, IF(D62&gt;=30, 50, "")))</f>
        <v/>
      </c>
      <c r="L62" s="20" t="str">
        <f t="shared" ref="L62:L63" si="10">IF(E62=5, 200, IF(E62=3, 150, IF(E62=2, 50, "")))</f>
        <v/>
      </c>
      <c r="M62" s="20" t="s">
        <v>258</v>
      </c>
      <c r="N62" s="20"/>
      <c r="O62" s="20"/>
      <c r="P62" s="1"/>
      <c r="Q62" s="1"/>
      <c r="R62" s="17">
        <f>SUM(K62:Q62)</f>
        <v>0</v>
      </c>
      <c r="T62" s="14">
        <f>R62+J62</f>
        <v>40</v>
      </c>
      <c r="V62" s="28">
        <v>2</v>
      </c>
      <c r="W62" s="29">
        <v>45766</v>
      </c>
      <c r="X62" s="45">
        <v>4760</v>
      </c>
      <c r="Y62" s="45">
        <v>-1360</v>
      </c>
      <c r="Z62" s="45">
        <v>-1910</v>
      </c>
      <c r="AA62" s="45">
        <v>-1490</v>
      </c>
    </row>
    <row r="63" spans="2:30" x14ac:dyDescent="0.3">
      <c r="B63" s="67"/>
      <c r="C63" s="4" t="s">
        <v>139</v>
      </c>
      <c r="D63" s="18"/>
      <c r="E63" s="1">
        <v>2</v>
      </c>
      <c r="F63" s="1"/>
      <c r="G63" s="1"/>
      <c r="H63" s="1"/>
      <c r="I63" s="1"/>
      <c r="J63" s="19">
        <f>(D63*D$59)+(E63*E$59)+(F63*F$59)+(G63*G$59)+(H63*H$59)+(I63*I$59)</f>
        <v>200</v>
      </c>
      <c r="K63" s="15" t="str">
        <f t="shared" si="9"/>
        <v/>
      </c>
      <c r="L63" s="20">
        <f t="shared" si="10"/>
        <v>50</v>
      </c>
      <c r="M63" s="20" t="s">
        <v>258</v>
      </c>
      <c r="N63" s="20"/>
      <c r="O63" s="20"/>
      <c r="P63" s="1"/>
      <c r="Q63" s="1"/>
      <c r="R63" s="17">
        <f>SUM(K63:Q63)</f>
        <v>50</v>
      </c>
      <c r="T63" s="14">
        <f>R63+J63</f>
        <v>250</v>
      </c>
      <c r="V63" s="28">
        <v>3</v>
      </c>
      <c r="W63" s="29">
        <v>45766</v>
      </c>
      <c r="X63" s="45">
        <f>-(Y63+Z63+AA63)</f>
        <v>2335</v>
      </c>
      <c r="Y63" s="45">
        <f>T72-T66</f>
        <v>-1150</v>
      </c>
      <c r="Z63" s="45">
        <f>T78-T66</f>
        <v>-990</v>
      </c>
      <c r="AA63" s="45">
        <f>T84-T66</f>
        <v>-195</v>
      </c>
      <c r="AC63" s="50" t="s">
        <v>5</v>
      </c>
      <c r="AD63" s="50" t="s">
        <v>235</v>
      </c>
    </row>
    <row r="64" spans="2:30" x14ac:dyDescent="0.3">
      <c r="B64" s="67"/>
      <c r="C64" s="4" t="s">
        <v>292</v>
      </c>
      <c r="D64" s="18">
        <v>3</v>
      </c>
      <c r="E64" s="1"/>
      <c r="F64" s="1"/>
      <c r="G64" s="1"/>
      <c r="H64" s="1">
        <v>1</v>
      </c>
      <c r="I64" s="1"/>
      <c r="J64" s="19">
        <f>(D64*D$59)+(E64*E$59)+(F64*F$59)+(G64*G$59)+(H64*H$59)+(I64*I$59)</f>
        <v>65</v>
      </c>
      <c r="K64" s="15" t="str">
        <f t="shared" si="9"/>
        <v/>
      </c>
      <c r="L64" s="20" t="str">
        <f t="shared" ref="L64:L65" si="11">IF(E64=5, 200, IF(E64=3, 150, IF(E64=2, 50, "")))</f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65</v>
      </c>
      <c r="V64" s="28">
        <v>4</v>
      </c>
      <c r="W64" s="44"/>
      <c r="X64" s="28"/>
      <c r="Y64" s="28"/>
      <c r="Z64" s="28"/>
      <c r="AA64" s="28"/>
      <c r="AC64" s="28" t="s">
        <v>211</v>
      </c>
      <c r="AD64" s="28">
        <f>T66</f>
        <v>1665</v>
      </c>
    </row>
    <row r="65" spans="2:30" ht="15" thickBot="1" x14ac:dyDescent="0.35">
      <c r="B65" s="68"/>
      <c r="C65" s="21" t="s">
        <v>117</v>
      </c>
      <c r="D65" s="9"/>
      <c r="E65" s="10">
        <v>1</v>
      </c>
      <c r="F65" s="10"/>
      <c r="G65" s="10"/>
      <c r="H65" s="10">
        <v>1</v>
      </c>
      <c r="I65" s="10"/>
      <c r="J65" s="11">
        <f>(D65*D$59)+(E65*E$59)+(F65*F$59)+(G65*G$59)+(H65*H$59)+(I65*I$59)</f>
        <v>150</v>
      </c>
      <c r="K65" s="12" t="str">
        <f t="shared" si="9"/>
        <v/>
      </c>
      <c r="L65" s="12" t="str">
        <f t="shared" si="11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150</v>
      </c>
      <c r="V65" s="28">
        <v>5</v>
      </c>
      <c r="W65" s="29"/>
      <c r="X65" s="28"/>
      <c r="Y65" s="28"/>
      <c r="Z65" s="28"/>
      <c r="AA65" s="28"/>
      <c r="AC65" s="28" t="s">
        <v>96</v>
      </c>
      <c r="AD65" s="28">
        <f>T72</f>
        <v>515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1665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675</v>
      </c>
    </row>
    <row r="67" spans="2:30" x14ac:dyDescent="0.3">
      <c r="B67" s="66" t="s">
        <v>96</v>
      </c>
      <c r="C67" s="39" t="s">
        <v>37</v>
      </c>
      <c r="D67" s="23">
        <v>4</v>
      </c>
      <c r="E67" s="6"/>
      <c r="F67" s="6"/>
      <c r="G67" s="6"/>
      <c r="H67" s="6"/>
      <c r="I67" s="6"/>
      <c r="J67" s="7">
        <f>(D67*D$59)+(E67*E$59)+(F67*F$59)+(G67*G$59)+(H67*H$59)+(I67*I$59)</f>
        <v>20</v>
      </c>
      <c r="K67" s="23" t="str">
        <f t="shared" ref="K67:K71" si="12">IF(D67&gt;=100, 250, IF(D67&gt;=50, 150, IF(D67&gt;=30, 50, "")))</f>
        <v/>
      </c>
      <c r="L67" s="23" t="str">
        <f t="shared" ref="L67:L71" si="13">IF(E67=5, 200, IF(E67=3, 150, IF(E67=2, 50, "")))</f>
        <v/>
      </c>
      <c r="M67" s="23"/>
      <c r="N67" s="23"/>
      <c r="O67" s="23"/>
      <c r="P67" s="6"/>
      <c r="Q67" s="6"/>
      <c r="R67" s="24">
        <f>SUM(K67:Q67)</f>
        <v>0</v>
      </c>
      <c r="T67" s="33">
        <f>(R67+J67)*2</f>
        <v>40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1470</v>
      </c>
    </row>
    <row r="68" spans="2:30" x14ac:dyDescent="0.3">
      <c r="B68" s="67"/>
      <c r="C68" s="19" t="s">
        <v>61</v>
      </c>
      <c r="D68" s="20">
        <v>39</v>
      </c>
      <c r="E68" s="1"/>
      <c r="F68" s="1"/>
      <c r="G68" s="1"/>
      <c r="H68" s="1">
        <v>1</v>
      </c>
      <c r="I68" s="1"/>
      <c r="J68" s="19">
        <f>(D68*D$59)+(E68*E$59)+(F68*F$59)+(G68*G$59)+(H68*H$59)+(I68*I$59)</f>
        <v>245</v>
      </c>
      <c r="K68" s="15">
        <f t="shared" si="12"/>
        <v>50</v>
      </c>
      <c r="L68" s="20" t="str">
        <f t="shared" si="13"/>
        <v/>
      </c>
      <c r="M68" s="20"/>
      <c r="N68" s="20"/>
      <c r="O68" s="20"/>
      <c r="P68" s="1"/>
      <c r="Q68" s="1"/>
      <c r="R68" s="17">
        <f>SUM(K68:Q68)</f>
        <v>50</v>
      </c>
      <c r="T68" s="14">
        <f>R68+J68</f>
        <v>295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109</v>
      </c>
      <c r="D69" s="20">
        <v>6</v>
      </c>
      <c r="E69" s="1"/>
      <c r="F69" s="1"/>
      <c r="G69" s="1"/>
      <c r="H69" s="1">
        <v>1</v>
      </c>
      <c r="I69" s="1"/>
      <c r="J69" s="19">
        <f>(D69*D$59)+(E69*E$59)+(F69*F$59)+(G69*G$59)+(H69*H$59)+(I69*I$59)</f>
        <v>80</v>
      </c>
      <c r="K69" s="15" t="str">
        <f t="shared" si="12"/>
        <v/>
      </c>
      <c r="L69" s="20" t="str">
        <f t="shared" si="13"/>
        <v/>
      </c>
      <c r="M69" s="20"/>
      <c r="N69" s="20"/>
      <c r="O69" s="20"/>
      <c r="P69" s="1"/>
      <c r="Q69" s="1"/>
      <c r="R69" s="17">
        <f>SUM(K69:Q69)</f>
        <v>0</v>
      </c>
      <c r="T69" s="14">
        <f>R69+J69</f>
        <v>80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63</v>
      </c>
      <c r="D70" s="20"/>
      <c r="E70" s="1">
        <v>1</v>
      </c>
      <c r="F70" s="1"/>
      <c r="G70" s="1"/>
      <c r="H70" s="1"/>
      <c r="I70" s="1"/>
      <c r="J70" s="19">
        <f>(D70*D$59)+(E70*E$59)+(F70*F$59)+(G70*G$59)+(H70*H$59)+(I70*I$59)</f>
        <v>100</v>
      </c>
      <c r="K70" s="15" t="str">
        <f t="shared" si="12"/>
        <v/>
      </c>
      <c r="L70" s="20" t="str">
        <f t="shared" si="13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100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291</v>
      </c>
      <c r="D71" s="12"/>
      <c r="E71" s="10"/>
      <c r="F71" s="10"/>
      <c r="G71" s="10"/>
      <c r="H71" s="10"/>
      <c r="I71" s="10"/>
      <c r="J71" s="11">
        <f>(D71*D$59)+(E71*E$59)+(F71*F$59)+(G71*G$59)+(H71*H$59)+(I71*I$59)</f>
        <v>0</v>
      </c>
      <c r="K71" s="12" t="str">
        <f t="shared" si="12"/>
        <v/>
      </c>
      <c r="L71" s="12" t="str">
        <f t="shared" si="13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515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53</v>
      </c>
      <c r="D73" s="23">
        <v>11</v>
      </c>
      <c r="E73" s="6"/>
      <c r="F73" s="6"/>
      <c r="G73" s="6"/>
      <c r="H73" s="6"/>
      <c r="I73" s="6"/>
      <c r="J73" s="7">
        <f>(D73*D$59)+(E73*E$59)+(F73*F$59)+(G73*G$59)+(H73*H$59)+(I73*I$59)</f>
        <v>55</v>
      </c>
      <c r="K73" s="23" t="str">
        <f t="shared" ref="K73:K77" si="14">IF(D73&gt;=100, 250, IF(D73&gt;=50, 150, IF(D73&gt;=30, 50, "")))</f>
        <v/>
      </c>
      <c r="L73" s="23" t="str">
        <f t="shared" ref="L73:L77" si="15">IF(E73=5, 200, IF(E73=3, 150, IF(E73=2, 50, "")))</f>
        <v/>
      </c>
      <c r="M73" s="23"/>
      <c r="N73" s="23"/>
      <c r="O73" s="23"/>
      <c r="P73" s="6"/>
      <c r="Q73" s="6"/>
      <c r="R73" s="24">
        <f>SUM(K73:Q73)</f>
        <v>0</v>
      </c>
      <c r="T73" s="33">
        <f>(R73+J73)*2</f>
        <v>110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38</v>
      </c>
      <c r="D74" s="20">
        <v>3</v>
      </c>
      <c r="E74" s="1"/>
      <c r="F74" s="1"/>
      <c r="G74" s="1">
        <v>1</v>
      </c>
      <c r="H74" s="1"/>
      <c r="I74" s="1"/>
      <c r="J74" s="19">
        <f>(D74*D$59)+(E74*E$59)+(F74*F$59)+(G74*G$59)+(H74*H$59)+(I74*I$59)</f>
        <v>65</v>
      </c>
      <c r="K74" s="15" t="str">
        <f t="shared" si="14"/>
        <v/>
      </c>
      <c r="L74" s="20" t="str">
        <f t="shared" si="15"/>
        <v/>
      </c>
      <c r="M74" s="20"/>
      <c r="N74" s="20"/>
      <c r="O74" s="20"/>
      <c r="P74" s="1"/>
      <c r="Q74" s="1"/>
      <c r="R74" s="17">
        <f>SUM(K74:Q74)</f>
        <v>0</v>
      </c>
      <c r="T74" s="14">
        <f>R74+J74</f>
        <v>65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290</v>
      </c>
      <c r="D75" s="20"/>
      <c r="E75" s="1"/>
      <c r="F75" s="1"/>
      <c r="G75" s="1"/>
      <c r="H75" s="1"/>
      <c r="I75" s="1"/>
      <c r="J75" s="19">
        <f>(D75*D$59)+(E75*E$59)+(F75*F$59)+(G75*G$59)+(H75*H$59)+(I75*I$59)</f>
        <v>0</v>
      </c>
      <c r="K75" s="15" t="str">
        <f t="shared" si="14"/>
        <v/>
      </c>
      <c r="L75" s="20" t="str">
        <f t="shared" si="15"/>
        <v/>
      </c>
      <c r="M75" s="20"/>
      <c r="N75" s="20"/>
      <c r="O75" s="20"/>
      <c r="P75" s="1"/>
      <c r="Q75" s="1"/>
      <c r="R75" s="17">
        <f>SUM(K75:Q75)</f>
        <v>0</v>
      </c>
      <c r="T75" s="14">
        <f>R75+J75</f>
        <v>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212</v>
      </c>
      <c r="D76" s="20"/>
      <c r="E76" s="1"/>
      <c r="F76" s="1"/>
      <c r="G76" s="1"/>
      <c r="H76" s="1"/>
      <c r="I76" s="1"/>
      <c r="J76" s="19">
        <f>(D76*D$59)+(E76*E$59)+(F76*F$59)+(G76*G$59)+(H76*H$59)+(I76*I$59)</f>
        <v>0</v>
      </c>
      <c r="K76" s="15" t="str">
        <f t="shared" si="14"/>
        <v/>
      </c>
      <c r="L76" s="20" t="str">
        <f t="shared" si="15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148</v>
      </c>
      <c r="D77" s="12"/>
      <c r="E77" s="10">
        <v>3</v>
      </c>
      <c r="F77" s="10"/>
      <c r="G77" s="10"/>
      <c r="H77" s="10">
        <v>1</v>
      </c>
      <c r="I77" s="10"/>
      <c r="J77" s="11">
        <f>(D77*D$59)+(E77*E$59)+(F77*F$59)+(G77*G$59)+(H77*H$59)+(I77*I$59)</f>
        <v>350</v>
      </c>
      <c r="K77" s="12" t="str">
        <f t="shared" si="14"/>
        <v/>
      </c>
      <c r="L77" s="12">
        <f t="shared" si="15"/>
        <v>150</v>
      </c>
      <c r="M77" s="12"/>
      <c r="N77" s="12"/>
      <c r="O77" s="12"/>
      <c r="P77" s="10"/>
      <c r="Q77" s="10"/>
      <c r="R77" s="13">
        <f>SUM(K77:Q77)</f>
        <v>150</v>
      </c>
      <c r="T77" s="34">
        <f>R77+J77</f>
        <v>500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675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180</v>
      </c>
      <c r="D79" s="23">
        <v>74</v>
      </c>
      <c r="E79" s="6"/>
      <c r="F79" s="6"/>
      <c r="G79" s="6"/>
      <c r="H79" s="6"/>
      <c r="I79" s="6"/>
      <c r="J79" s="7">
        <f>(D79*D$59)+(E79*E$59)+(F79*F$59)+(G79*G$59)+(H79*H$59)+(I79*I$59)</f>
        <v>370</v>
      </c>
      <c r="K79" s="23">
        <f t="shared" ref="K79:K83" si="16">IF(D79&gt;=100, 250, IF(D79&gt;=50, 150, IF(D79&gt;=30, 50, "")))</f>
        <v>150</v>
      </c>
      <c r="L79" s="23" t="str">
        <f t="shared" ref="L79:L83" si="17">IF(E79=5, 200, IF(E79=3, 150, IF(E79=2, 50, "")))</f>
        <v/>
      </c>
      <c r="M79" s="23"/>
      <c r="N79" s="23"/>
      <c r="O79" s="23"/>
      <c r="P79" s="6"/>
      <c r="Q79" s="6"/>
      <c r="R79" s="24">
        <f>SUM(K79:Q79)</f>
        <v>150</v>
      </c>
      <c r="T79" s="33">
        <f>(R79+J79)*2</f>
        <v>1040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106</v>
      </c>
      <c r="D80" s="20"/>
      <c r="E80" s="1">
        <v>1</v>
      </c>
      <c r="F80" s="1"/>
      <c r="G80" s="1"/>
      <c r="H80" s="1"/>
      <c r="I80" s="1"/>
      <c r="J80" s="19">
        <f>(D80*D$59)+(E80*E$59)+(F80*F$59)+(G80*G$59)+(H80*H$59)+(I80*I$59)</f>
        <v>100</v>
      </c>
      <c r="K80" s="15" t="str">
        <f t="shared" si="16"/>
        <v/>
      </c>
      <c r="L80" s="20" t="str">
        <f t="shared" si="17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100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293</v>
      </c>
      <c r="D81" s="20">
        <v>34</v>
      </c>
      <c r="E81" s="1"/>
      <c r="F81" s="1"/>
      <c r="G81" s="1"/>
      <c r="H81" s="1"/>
      <c r="I81" s="1"/>
      <c r="J81" s="19">
        <f>(D81*D$59)+(E81*E$59)+(F81*F$59)+(G81*G$59)+(H81*H$59)+(I81*I$59)</f>
        <v>170</v>
      </c>
      <c r="K81" s="15">
        <f t="shared" si="16"/>
        <v>50</v>
      </c>
      <c r="L81" s="20" t="str">
        <f t="shared" si="17"/>
        <v/>
      </c>
      <c r="M81" s="20" t="s">
        <v>258</v>
      </c>
      <c r="N81" s="20"/>
      <c r="O81" s="20"/>
      <c r="P81" s="1"/>
      <c r="Q81" s="1"/>
      <c r="R81" s="17">
        <f>SUM(K81:Q81)</f>
        <v>50</v>
      </c>
      <c r="T81" s="14">
        <f>R81+J81</f>
        <v>220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54</v>
      </c>
      <c r="D82" s="20"/>
      <c r="E82" s="1"/>
      <c r="F82" s="1"/>
      <c r="G82" s="1"/>
      <c r="H82" s="1"/>
      <c r="I82" s="1"/>
      <c r="J82" s="19">
        <f>(D82*D$59)+(E82*E$59)+(F82*F$59)+(G82*G$59)+(H82*H$59)+(I82*I$59)</f>
        <v>0</v>
      </c>
      <c r="K82" s="15" t="str">
        <f t="shared" si="16"/>
        <v/>
      </c>
      <c r="L82" s="20" t="str">
        <f t="shared" si="17"/>
        <v/>
      </c>
      <c r="M82" s="20" t="s">
        <v>258</v>
      </c>
      <c r="N82" s="20"/>
      <c r="O82" s="20"/>
      <c r="P82" s="1"/>
      <c r="Q82" s="1"/>
      <c r="R82" s="17">
        <f>SUM(K82:Q82)</f>
        <v>0</v>
      </c>
      <c r="T82" s="14">
        <f>R82+J82</f>
        <v>0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179</v>
      </c>
      <c r="D83" s="12">
        <v>12</v>
      </c>
      <c r="E83" s="10"/>
      <c r="F83" s="10"/>
      <c r="G83" s="10"/>
      <c r="H83" s="10">
        <v>1</v>
      </c>
      <c r="I83" s="10"/>
      <c r="J83" s="11">
        <f>(D83*D$59)+(E83*E$59)+(F83*F$59)+(G83*G$59)+(H83*H$59)+(I83*I$59)</f>
        <v>110</v>
      </c>
      <c r="K83" s="12" t="str">
        <f t="shared" si="16"/>
        <v/>
      </c>
      <c r="L83" s="12" t="str">
        <f t="shared" si="17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110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1470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AJ84"/>
  <sheetViews>
    <sheetView topLeftCell="A58" zoomScale="90" zoomScaleNormal="90" workbookViewId="0">
      <selection activeCell="X77" sqref="X77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10245</v>
      </c>
      <c r="Y28" s="42">
        <f>SUM(Y29:Y36)</f>
        <v>-3810</v>
      </c>
      <c r="Z28" s="42">
        <f>SUM(Z29:Z36)</f>
        <v>-3970</v>
      </c>
      <c r="AA28" s="42">
        <f>SUM(AA29:AA36)</f>
        <v>-2465</v>
      </c>
    </row>
    <row r="29" spans="2:36" x14ac:dyDescent="0.3">
      <c r="B29" s="66" t="s">
        <v>211</v>
      </c>
      <c r="C29" s="55" t="s">
        <v>19</v>
      </c>
      <c r="D29" s="5">
        <v>73</v>
      </c>
      <c r="E29" s="6"/>
      <c r="F29" s="6">
        <v>1</v>
      </c>
      <c r="G29" s="6"/>
      <c r="H29" s="6"/>
      <c r="I29" s="6"/>
      <c r="J29" s="7">
        <f>(D29*D$59)+(E29*E$59)+(F29*F$59)+(G29*G$59)+(H29*H$59)+(I29*I$59)</f>
        <v>415</v>
      </c>
      <c r="K29" s="15">
        <f>IF(D29&gt;=100, 250, IF(D29&gt;=50, 150, IF(D29&gt;=30, 50, "")))</f>
        <v>150</v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150</v>
      </c>
      <c r="T29" s="14">
        <f>(R29+J29)*2</f>
        <v>1130</v>
      </c>
      <c r="V29" s="28">
        <v>1</v>
      </c>
      <c r="W29" s="29">
        <v>45764</v>
      </c>
      <c r="X29" s="28">
        <v>-5</v>
      </c>
      <c r="Y29" s="28">
        <v>-330</v>
      </c>
      <c r="Z29" s="28">
        <v>-140</v>
      </c>
      <c r="AA29" s="28">
        <v>475</v>
      </c>
    </row>
    <row r="30" spans="2:36" x14ac:dyDescent="0.3">
      <c r="B30" s="67"/>
      <c r="C30" s="4" t="s">
        <v>134</v>
      </c>
      <c r="D30" s="18">
        <v>33</v>
      </c>
      <c r="E30" s="1"/>
      <c r="F30" s="1"/>
      <c r="G30" s="1"/>
      <c r="H30" s="1"/>
      <c r="I30" s="1"/>
      <c r="J30" s="19">
        <f>(D30*D$59)+(E30*E$59)+(F30*F$59)+(G30*G$59)+(H30*H$59)+(I30*I$59)</f>
        <v>165</v>
      </c>
      <c r="K30" s="15">
        <f t="shared" ref="K30:K33" si="0">IF(D30&gt;=100, 250, IF(D30&gt;=50, 150, IF(D30&gt;=30, 50, "")))</f>
        <v>50</v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50</v>
      </c>
      <c r="T30" s="14">
        <f>R30+J30</f>
        <v>215</v>
      </c>
      <c r="V30" s="28">
        <v>2</v>
      </c>
      <c r="W30" s="29">
        <v>45766</v>
      </c>
      <c r="X30" s="45">
        <v>4760</v>
      </c>
      <c r="Y30" s="45">
        <v>-1360</v>
      </c>
      <c r="Z30" s="45">
        <v>-1910</v>
      </c>
      <c r="AA30" s="45">
        <v>-1490</v>
      </c>
    </row>
    <row r="31" spans="2:36" x14ac:dyDescent="0.3">
      <c r="B31" s="67"/>
      <c r="C31" s="4" t="s">
        <v>100</v>
      </c>
      <c r="D31" s="18"/>
      <c r="E31" s="1"/>
      <c r="F31" s="1"/>
      <c r="G31" s="1"/>
      <c r="H31" s="1"/>
      <c r="I31" s="1"/>
      <c r="J31" s="19">
        <f>(D31*D$59)+(E31*E$59)+(F31*F$59)+(G31*G$59)+(H31*H$59)+(I31*I$59)</f>
        <v>0</v>
      </c>
      <c r="K31" s="15" t="str">
        <f t="shared" si="0"/>
        <v/>
      </c>
      <c r="L31" s="20" t="str">
        <f t="shared" si="1"/>
        <v/>
      </c>
      <c r="M31" s="20" t="s">
        <v>258</v>
      </c>
      <c r="N31" s="20"/>
      <c r="O31" s="20"/>
      <c r="P31" s="1"/>
      <c r="Q31" s="1"/>
      <c r="R31" s="17">
        <f>SUM(K31:Q31)</f>
        <v>0</v>
      </c>
      <c r="T31" s="14">
        <f>R31+J31</f>
        <v>0</v>
      </c>
      <c r="V31" s="28">
        <v>3</v>
      </c>
      <c r="W31" s="29">
        <v>45766</v>
      </c>
      <c r="X31" s="45">
        <v>2335</v>
      </c>
      <c r="Y31" s="45">
        <v>-1150</v>
      </c>
      <c r="Z31" s="45">
        <v>-990</v>
      </c>
      <c r="AA31" s="45">
        <v>-195</v>
      </c>
    </row>
    <row r="32" spans="2:36" x14ac:dyDescent="0.3">
      <c r="B32" s="67"/>
      <c r="C32" s="4" t="s">
        <v>250</v>
      </c>
      <c r="D32" s="18">
        <v>25</v>
      </c>
      <c r="E32" s="1"/>
      <c r="F32" s="1"/>
      <c r="G32" s="1"/>
      <c r="H32" s="1">
        <v>1</v>
      </c>
      <c r="I32" s="1"/>
      <c r="J32" s="19">
        <f>(D32*D$59)+(E32*E$59)+(F32*F$59)+(G32*G$59)+(H32*H$59)+(I32*I$59)</f>
        <v>175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175</v>
      </c>
      <c r="V32" s="28">
        <v>4</v>
      </c>
      <c r="W32" s="44">
        <v>45767</v>
      </c>
      <c r="X32" s="45">
        <f>-(Y32+Z32+AA32)</f>
        <v>3155</v>
      </c>
      <c r="Y32" s="45">
        <f>T40-T34</f>
        <v>-970</v>
      </c>
      <c r="Z32" s="45">
        <f>T46-T34</f>
        <v>-930</v>
      </c>
      <c r="AA32" s="45">
        <f>T52-T34</f>
        <v>-1255</v>
      </c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124</v>
      </c>
      <c r="D33" s="9">
        <v>31</v>
      </c>
      <c r="E33" s="10"/>
      <c r="F33" s="10"/>
      <c r="G33" s="10"/>
      <c r="H33" s="10"/>
      <c r="I33" s="10"/>
      <c r="J33" s="11">
        <f>(D33*D$59)+(E33*E$59)+(F33*F$59)+(G33*G$59)+(H33*H$59)+(I33*I$59)</f>
        <v>155</v>
      </c>
      <c r="K33" s="12">
        <f t="shared" si="0"/>
        <v>50</v>
      </c>
      <c r="L33" s="12" t="str">
        <f t="shared" si="1"/>
        <v/>
      </c>
      <c r="M33" s="12" t="s">
        <v>258</v>
      </c>
      <c r="N33" s="12"/>
      <c r="O33" s="12"/>
      <c r="P33" s="10"/>
      <c r="Q33" s="10"/>
      <c r="R33" s="13">
        <f>SUM(K33:Q33)</f>
        <v>50</v>
      </c>
      <c r="T33" s="22">
        <f>(R33+J33)</f>
        <v>205</v>
      </c>
      <c r="V33" s="28">
        <v>5</v>
      </c>
      <c r="W33" s="29"/>
      <c r="X33" s="28"/>
      <c r="Y33" s="28"/>
      <c r="Z33" s="28"/>
      <c r="AA33" s="28"/>
      <c r="AC33" s="28" t="s">
        <v>211</v>
      </c>
      <c r="AD33" s="28">
        <f>T34</f>
        <v>1725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57">
        <f>SUM(T29:T33)</f>
        <v>1725</v>
      </c>
      <c r="V34" s="28">
        <v>6</v>
      </c>
      <c r="W34" s="29"/>
      <c r="X34" s="28"/>
      <c r="Y34" s="28"/>
      <c r="Z34" s="28"/>
      <c r="AA34" s="28"/>
      <c r="AC34" s="28" t="s">
        <v>96</v>
      </c>
      <c r="AD34" s="28">
        <f>T40</f>
        <v>755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56" t="s">
        <v>46</v>
      </c>
      <c r="D35" s="23">
        <v>1</v>
      </c>
      <c r="E35" s="6"/>
      <c r="F35" s="6"/>
      <c r="G35" s="6"/>
      <c r="H35" s="6"/>
      <c r="I35" s="6"/>
      <c r="J35" s="7">
        <f>(D35*D$59)+(E35*E$59)+(F35*F$59)+(G35*G$59)+(H35*H$59)+(I35*I$59)</f>
        <v>5</v>
      </c>
      <c r="K35" s="23" t="str">
        <f t="shared" ref="K35:K39" si="2">IF(D35&gt;=100, 250, IF(D35&gt;=50, 150, IF(D35&gt;=30, 50, "")))</f>
        <v/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0</v>
      </c>
      <c r="T35" s="33">
        <f>(R35+J35)*2</f>
        <v>10</v>
      </c>
      <c r="V35" s="28">
        <v>7</v>
      </c>
      <c r="W35" s="29"/>
      <c r="X35" s="28"/>
      <c r="Y35" s="28"/>
      <c r="Z35" s="28"/>
      <c r="AA35" s="28"/>
      <c r="AC35" s="28" t="s">
        <v>97</v>
      </c>
      <c r="AD35" s="28">
        <f>T46</f>
        <v>795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136</v>
      </c>
      <c r="D36" s="20">
        <v>22</v>
      </c>
      <c r="E36" s="1"/>
      <c r="F36" s="1"/>
      <c r="G36" s="1"/>
      <c r="H36" s="1"/>
      <c r="I36" s="1"/>
      <c r="J36" s="19">
        <f>(D36*D$59)+(E36*E$59)+(F36*F$59)+(G36*G$59)+(H36*H$59)+(I36*I$59)</f>
        <v>110</v>
      </c>
      <c r="K36" s="15" t="str">
        <f t="shared" si="2"/>
        <v/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0</v>
      </c>
      <c r="T36" s="14">
        <f>R36+J36</f>
        <v>110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470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225</v>
      </c>
      <c r="D37" s="20">
        <v>5</v>
      </c>
      <c r="E37" s="1"/>
      <c r="F37" s="1"/>
      <c r="G37" s="1"/>
      <c r="H37" s="1">
        <v>1</v>
      </c>
      <c r="I37" s="1"/>
      <c r="J37" s="19">
        <f>(D37*D$59)+(E37*E$59)+(F37*F$59)+(G37*G$59)+(H37*H$59)+(I37*I$59)</f>
        <v>75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75</v>
      </c>
      <c r="V37" s="28"/>
      <c r="W37" s="29"/>
      <c r="X37" s="28"/>
      <c r="Y37" s="28"/>
      <c r="Z37" s="28"/>
      <c r="AA37" s="28"/>
      <c r="AF37" s="49" t="s">
        <v>284</v>
      </c>
      <c r="AG37" s="49">
        <f>X28</f>
        <v>10245</v>
      </c>
      <c r="AH37" s="49">
        <f>Y28</f>
        <v>-3810</v>
      </c>
      <c r="AI37" s="49">
        <f>Z28</f>
        <v>-3970</v>
      </c>
      <c r="AJ37" s="49">
        <f>AA28</f>
        <v>-2465</v>
      </c>
    </row>
    <row r="38" spans="2:36" x14ac:dyDescent="0.3">
      <c r="B38" s="67"/>
      <c r="C38" s="19" t="s">
        <v>65</v>
      </c>
      <c r="D38" s="20">
        <v>11</v>
      </c>
      <c r="E38" s="1"/>
      <c r="F38" s="1">
        <v>1</v>
      </c>
      <c r="G38" s="1"/>
      <c r="H38" s="1"/>
      <c r="I38" s="1"/>
      <c r="J38" s="19">
        <f>(D38*D$59)+(E38*E$59)+(F38*F$59)+(G38*G$59)+(H38*H$59)+(I38*I$59)</f>
        <v>105</v>
      </c>
      <c r="K38" s="15" t="str">
        <f t="shared" si="2"/>
        <v/>
      </c>
      <c r="L38" s="20" t="str">
        <f t="shared" si="3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105</v>
      </c>
      <c r="V38" s="28"/>
      <c r="W38" s="29"/>
      <c r="X38" s="28"/>
      <c r="Y38" s="28"/>
      <c r="Z38" s="28"/>
      <c r="AA38" s="28"/>
      <c r="AF38" s="49" t="s">
        <v>0</v>
      </c>
      <c r="AG38" s="49">
        <f>SUM(AG33:AG37)</f>
        <v>15960</v>
      </c>
      <c r="AH38" s="49">
        <f t="shared" ref="AH38:AJ38" si="4">SUM(AH33:AH37)</f>
        <v>1265</v>
      </c>
      <c r="AI38" s="49">
        <f t="shared" si="4"/>
        <v>2170</v>
      </c>
      <c r="AJ38" s="49">
        <f t="shared" si="4"/>
        <v>-19395</v>
      </c>
    </row>
    <row r="39" spans="2:36" ht="15" thickBot="1" x14ac:dyDescent="0.35">
      <c r="B39" s="68"/>
      <c r="C39" s="11" t="s">
        <v>160</v>
      </c>
      <c r="D39" s="12">
        <v>61</v>
      </c>
      <c r="E39" s="10"/>
      <c r="F39" s="10"/>
      <c r="G39" s="10"/>
      <c r="H39" s="10"/>
      <c r="I39" s="10"/>
      <c r="J39" s="11">
        <f>(D39*D$59)+(E39*E$59)+(F39*F$59)+(G39*G$59)+(H39*H$59)+(I39*I$59)</f>
        <v>305</v>
      </c>
      <c r="K39" s="12">
        <f t="shared" si="2"/>
        <v>150</v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150</v>
      </c>
      <c r="T39" s="34">
        <f>R39+J39</f>
        <v>455</v>
      </c>
      <c r="V39" s="28"/>
      <c r="W39" s="29"/>
      <c r="X39" s="28"/>
      <c r="Y39" s="28"/>
      <c r="Z39" s="28"/>
      <c r="AA39" s="28"/>
    </row>
    <row r="40" spans="2:36" ht="15" thickBot="1" x14ac:dyDescent="0.35">
      <c r="K40" s="2" t="s">
        <v>258</v>
      </c>
      <c r="L40" s="2" t="s">
        <v>258</v>
      </c>
      <c r="T40" s="57">
        <f>SUM(T35:T39)</f>
        <v>755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56" t="s">
        <v>278</v>
      </c>
      <c r="D41" s="23">
        <v>29</v>
      </c>
      <c r="E41" s="6"/>
      <c r="F41" s="6"/>
      <c r="G41" s="6"/>
      <c r="H41" s="6">
        <v>1</v>
      </c>
      <c r="I41" s="6"/>
      <c r="J41" s="7">
        <f>(D41*D$59)+(E41*E$59)+(F41*F$59)+(G41*G$59)+(H41*H$59)+(I41*I$59)</f>
        <v>195</v>
      </c>
      <c r="K41" s="23" t="str">
        <f t="shared" ref="K41:K45" si="5">IF(D41&gt;=100, 250, IF(D41&gt;=50, 150, IF(D41&gt;=30, 50, "")))</f>
        <v/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0</v>
      </c>
      <c r="T41" s="33">
        <f>(R41+J41)*2</f>
        <v>390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126</v>
      </c>
      <c r="D42" s="20">
        <v>1</v>
      </c>
      <c r="E42" s="1"/>
      <c r="F42" s="1"/>
      <c r="G42" s="1"/>
      <c r="H42" s="1"/>
      <c r="I42" s="1"/>
      <c r="J42" s="19">
        <f>(D42*D$59)+(E42*E$59)+(F42*F$59)+(G42*G$59)+(H42*H$59)+(I42*I$59)</f>
        <v>5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5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294</v>
      </c>
      <c r="D43" s="20"/>
      <c r="E43" s="1">
        <v>1</v>
      </c>
      <c r="F43" s="1"/>
      <c r="G43" s="1"/>
      <c r="H43" s="1"/>
      <c r="I43" s="1"/>
      <c r="J43" s="19">
        <f>(D43*D$59)+(E43*E$59)+(F43*F$59)+(G43*G$59)+(H43*H$59)+(I43*I$59)</f>
        <v>100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100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241</v>
      </c>
      <c r="D44" s="20"/>
      <c r="E44" s="1">
        <v>2</v>
      </c>
      <c r="F44" s="1"/>
      <c r="G44" s="1"/>
      <c r="H44" s="1">
        <v>1</v>
      </c>
      <c r="I44" s="1"/>
      <c r="J44" s="19">
        <f>(D44*D$59)+(E44*E$59)+(F44*F$59)+(G44*G$59)+(H44*H$59)+(I44*I$59)</f>
        <v>250</v>
      </c>
      <c r="K44" s="15" t="str">
        <f t="shared" si="5"/>
        <v/>
      </c>
      <c r="L44" s="20">
        <f t="shared" si="6"/>
        <v>50</v>
      </c>
      <c r="M44" s="20"/>
      <c r="N44" s="20"/>
      <c r="O44" s="20"/>
      <c r="P44" s="1"/>
      <c r="Q44" s="1"/>
      <c r="R44" s="17">
        <f>SUM(K44:Q44)</f>
        <v>50</v>
      </c>
      <c r="T44" s="14">
        <f>R44+J44</f>
        <v>300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279</v>
      </c>
      <c r="D45" s="12"/>
      <c r="E45" s="10"/>
      <c r="F45" s="10"/>
      <c r="G45" s="10"/>
      <c r="H45" s="10"/>
      <c r="I45" s="10"/>
      <c r="J45" s="11">
        <f>(D45*D$59)+(E45*E$59)+(F45*F$59)+(G45*G$59)+(H45*H$59)+(I45*I$59)</f>
        <v>0</v>
      </c>
      <c r="K45" s="12" t="str">
        <f t="shared" si="5"/>
        <v/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0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57">
        <f>SUM(T41:T45)</f>
        <v>795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56" t="s">
        <v>224</v>
      </c>
      <c r="D47" s="23">
        <v>6</v>
      </c>
      <c r="E47" s="6"/>
      <c r="F47" s="6"/>
      <c r="G47" s="6"/>
      <c r="H47" s="6"/>
      <c r="I47" s="6"/>
      <c r="J47" s="7">
        <f>(D47*D$59)+(E47*E$59)+(F47*F$59)+(G47*G$59)+(H47*H$59)+(I47*I$59)</f>
        <v>30</v>
      </c>
      <c r="K47" s="23" t="str">
        <f t="shared" ref="K47:K51" si="7">IF(D47&gt;=100, 250, IF(D47&gt;=50, 150, IF(D47&gt;=30, 50, "")))</f>
        <v/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0</v>
      </c>
      <c r="T47" s="33">
        <f>(R47+J47)*2</f>
        <v>60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35</v>
      </c>
      <c r="D48" s="20">
        <v>12</v>
      </c>
      <c r="E48" s="1"/>
      <c r="F48" s="1"/>
      <c r="G48" s="1"/>
      <c r="H48" s="1"/>
      <c r="I48" s="1"/>
      <c r="J48" s="19">
        <f>(D48*D$59)+(E48*E$59)+(F48*F$59)+(G48*G$59)+(H48*H$59)+(I48*I$59)</f>
        <v>60</v>
      </c>
      <c r="K48" s="15" t="str">
        <f t="shared" si="7"/>
        <v/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0</v>
      </c>
      <c r="T48" s="14">
        <f>R48+J48</f>
        <v>60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131</v>
      </c>
      <c r="D49" s="20"/>
      <c r="E49" s="1">
        <v>1</v>
      </c>
      <c r="F49" s="1"/>
      <c r="G49" s="1"/>
      <c r="H49" s="1"/>
      <c r="I49" s="1"/>
      <c r="J49" s="19">
        <f>(D49*D$59)+(E49*E$59)+(F49*F$59)+(G49*G$59)+(H49*H$59)+(I49*I$59)</f>
        <v>100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100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159</v>
      </c>
      <c r="D50" s="20"/>
      <c r="E50" s="1"/>
      <c r="F50" s="1">
        <v>1</v>
      </c>
      <c r="G50" s="1"/>
      <c r="H50" s="1">
        <v>2</v>
      </c>
      <c r="I50" s="1"/>
      <c r="J50" s="19">
        <f>(D50*D$59)+(E50*E$59)+(F50*F$59)+(G50*G$59)+(H50*H$59)+(I50*I$59)</f>
        <v>150</v>
      </c>
      <c r="K50" s="15" t="str">
        <f t="shared" si="7"/>
        <v/>
      </c>
      <c r="L50" s="20" t="str">
        <f t="shared" si="8"/>
        <v/>
      </c>
      <c r="M50" s="20" t="s">
        <v>258</v>
      </c>
      <c r="N50" s="20"/>
      <c r="O50" s="20"/>
      <c r="P50" s="1"/>
      <c r="Q50" s="1"/>
      <c r="R50" s="17">
        <f>SUM(K50:Q50)</f>
        <v>0</v>
      </c>
      <c r="T50" s="14">
        <f>R50+J50</f>
        <v>150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127</v>
      </c>
      <c r="D51" s="12"/>
      <c r="E51" s="10">
        <v>1</v>
      </c>
      <c r="F51" s="10"/>
      <c r="G51" s="10"/>
      <c r="H51" s="10"/>
      <c r="I51" s="10"/>
      <c r="J51" s="11">
        <f>(D51*D$59)+(E51*E$59)+(F51*F$59)+(G51*G$59)+(H51*H$59)+(I51*I$59)</f>
        <v>100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100</v>
      </c>
      <c r="V51" s="28"/>
      <c r="W51" s="29"/>
      <c r="X51" s="28"/>
      <c r="Y51" s="28"/>
      <c r="Z51" s="28"/>
      <c r="AA51" s="28"/>
    </row>
    <row r="52" spans="2:30" ht="15" thickBot="1" x14ac:dyDescent="0.35">
      <c r="T52" s="57">
        <f>SUM(T47:T51)</f>
        <v>470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9345</v>
      </c>
      <c r="Y60" s="42">
        <f>SUM(Y61:Y68)</f>
        <v>-4730</v>
      </c>
      <c r="Z60" s="42">
        <f>SUM(Z61:Z68)</f>
        <v>-475</v>
      </c>
      <c r="AA60" s="42">
        <f>SUM(AA61:AA68)</f>
        <v>-4140</v>
      </c>
    </row>
    <row r="61" spans="2:30" x14ac:dyDescent="0.3">
      <c r="B61" s="66" t="s">
        <v>211</v>
      </c>
      <c r="C61" s="38" t="s">
        <v>111</v>
      </c>
      <c r="D61" s="5">
        <v>24</v>
      </c>
      <c r="E61" s="6"/>
      <c r="F61" s="6"/>
      <c r="G61" s="6">
        <v>1</v>
      </c>
      <c r="H61" s="6">
        <v>1</v>
      </c>
      <c r="I61" s="6"/>
      <c r="J61" s="7">
        <f>(D61*D$59)+(E61*E$59)+(F61*F$59)+(G61*G$59)+(H61*H$59)+(I61*I$59)</f>
        <v>220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440</v>
      </c>
      <c r="V61" s="28">
        <v>1</v>
      </c>
      <c r="W61" s="29">
        <v>45764</v>
      </c>
      <c r="X61" s="28">
        <v>-5</v>
      </c>
      <c r="Y61" s="28">
        <v>-330</v>
      </c>
      <c r="Z61" s="28">
        <v>-140</v>
      </c>
      <c r="AA61" s="28">
        <v>475</v>
      </c>
    </row>
    <row r="62" spans="2:30" x14ac:dyDescent="0.3">
      <c r="B62" s="67"/>
      <c r="C62" s="4" t="s">
        <v>70</v>
      </c>
      <c r="D62" s="18">
        <v>68</v>
      </c>
      <c r="E62" s="1"/>
      <c r="F62" s="1"/>
      <c r="G62" s="1"/>
      <c r="H62" s="1"/>
      <c r="I62" s="1"/>
      <c r="J62" s="19">
        <f>(D62*D$59)+(E62*E$59)+(F62*F$59)+(G62*G$59)+(H62*H$59)+(I62*I$59)</f>
        <v>340</v>
      </c>
      <c r="K62" s="15">
        <f t="shared" ref="K62:K65" si="9">IF(D62&gt;=100, 250, IF(D62&gt;=50, 150, IF(D62&gt;=30, 50, "")))</f>
        <v>150</v>
      </c>
      <c r="L62" s="20" t="str">
        <f t="shared" ref="L62:L65" si="10">IF(E62=5, 200, IF(E62=3, 150, IF(E62=2, 50, "")))</f>
        <v/>
      </c>
      <c r="M62" s="20" t="s">
        <v>258</v>
      </c>
      <c r="N62" s="20"/>
      <c r="O62" s="20">
        <v>150</v>
      </c>
      <c r="P62" s="1"/>
      <c r="Q62" s="1"/>
      <c r="R62" s="17">
        <f>SUM(K62:Q62)</f>
        <v>300</v>
      </c>
      <c r="T62" s="14">
        <f>R62+J62</f>
        <v>640</v>
      </c>
      <c r="V62" s="28">
        <v>2</v>
      </c>
      <c r="W62" s="29">
        <v>45766</v>
      </c>
      <c r="X62" s="45">
        <v>4760</v>
      </c>
      <c r="Y62" s="45">
        <v>-1360</v>
      </c>
      <c r="Z62" s="45">
        <v>-1910</v>
      </c>
      <c r="AA62" s="45">
        <v>-1490</v>
      </c>
    </row>
    <row r="63" spans="2:30" x14ac:dyDescent="0.3">
      <c r="B63" s="67"/>
      <c r="C63" s="4" t="s">
        <v>51</v>
      </c>
      <c r="D63" s="18"/>
      <c r="E63" s="1"/>
      <c r="F63" s="1"/>
      <c r="G63" s="1"/>
      <c r="H63" s="1"/>
      <c r="I63" s="1"/>
      <c r="J63" s="19">
        <f>(D63*D$59)+(E63*E$59)+(F63*F$59)+(G63*G$59)+(H63*H$59)+(I63*I$59)</f>
        <v>0</v>
      </c>
      <c r="K63" s="15" t="str">
        <f t="shared" si="9"/>
        <v/>
      </c>
      <c r="L63" s="20" t="str">
        <f t="shared" si="10"/>
        <v/>
      </c>
      <c r="M63" s="20" t="s">
        <v>258</v>
      </c>
      <c r="N63" s="20"/>
      <c r="O63" s="20"/>
      <c r="P63" s="1"/>
      <c r="Q63" s="1"/>
      <c r="R63" s="17">
        <f>SUM(K63:Q63)</f>
        <v>0</v>
      </c>
      <c r="T63" s="14">
        <f>R63+J63</f>
        <v>0</v>
      </c>
      <c r="V63" s="28">
        <v>3</v>
      </c>
      <c r="W63" s="29">
        <v>45766</v>
      </c>
      <c r="X63" s="45">
        <v>2335</v>
      </c>
      <c r="Y63" s="45">
        <v>-1150</v>
      </c>
      <c r="Z63" s="45">
        <v>-990</v>
      </c>
      <c r="AA63" s="45">
        <v>-195</v>
      </c>
      <c r="AC63" s="50" t="s">
        <v>5</v>
      </c>
      <c r="AD63" s="50" t="s">
        <v>235</v>
      </c>
    </row>
    <row r="64" spans="2:30" x14ac:dyDescent="0.3">
      <c r="B64" s="67"/>
      <c r="C64" s="4" t="s">
        <v>26</v>
      </c>
      <c r="D64" s="18"/>
      <c r="E64" s="1"/>
      <c r="F64" s="1"/>
      <c r="G64" s="1"/>
      <c r="H64" s="1"/>
      <c r="I64" s="1"/>
      <c r="J64" s="19">
        <f>(D64*D$59)+(E64*E$59)+(F64*F$59)+(G64*G$59)+(H64*H$59)+(I64*I$59)</f>
        <v>0</v>
      </c>
      <c r="K64" s="15" t="str">
        <f t="shared" si="9"/>
        <v/>
      </c>
      <c r="L64" s="20" t="str">
        <f t="shared" si="10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44">
        <v>45767</v>
      </c>
      <c r="X64" s="45">
        <v>3155</v>
      </c>
      <c r="Y64" s="45">
        <v>-970</v>
      </c>
      <c r="Z64" s="45">
        <v>-930</v>
      </c>
      <c r="AA64" s="45">
        <v>-1255</v>
      </c>
      <c r="AC64" s="28" t="s">
        <v>211</v>
      </c>
      <c r="AD64" s="28">
        <f>T66</f>
        <v>1080</v>
      </c>
    </row>
    <row r="65" spans="2:30" ht="15" thickBot="1" x14ac:dyDescent="0.35">
      <c r="B65" s="68"/>
      <c r="C65" s="21" t="s">
        <v>181</v>
      </c>
      <c r="D65" s="9"/>
      <c r="E65" s="10"/>
      <c r="F65" s="10"/>
      <c r="G65" s="10"/>
      <c r="H65" s="10"/>
      <c r="I65" s="10"/>
      <c r="J65" s="11">
        <f>(D65*D$59)+(E65*E$59)+(F65*F$59)+(G65*G$59)+(H65*H$59)+(I65*I$59)</f>
        <v>0</v>
      </c>
      <c r="K65" s="12" t="str">
        <f t="shared" si="9"/>
        <v/>
      </c>
      <c r="L65" s="12" t="str">
        <f t="shared" si="10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0</v>
      </c>
      <c r="V65" s="28">
        <v>5</v>
      </c>
      <c r="W65" s="29">
        <v>45767</v>
      </c>
      <c r="X65" s="28">
        <f>T66-T78</f>
        <v>-900</v>
      </c>
      <c r="Y65" s="28">
        <f>T72-T78</f>
        <v>-920</v>
      </c>
      <c r="Z65" s="28">
        <f>-(X65+Y65+AA65)</f>
        <v>3495</v>
      </c>
      <c r="AA65" s="28">
        <f>T84-T78</f>
        <v>-1675</v>
      </c>
      <c r="AC65" s="28" t="s">
        <v>96</v>
      </c>
      <c r="AD65" s="28">
        <f>T72</f>
        <v>1060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1080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1980</v>
      </c>
    </row>
    <row r="67" spans="2:30" x14ac:dyDescent="0.3">
      <c r="B67" s="66" t="s">
        <v>96</v>
      </c>
      <c r="C67" s="39" t="s">
        <v>75</v>
      </c>
      <c r="D67" s="23"/>
      <c r="E67" s="6"/>
      <c r="F67" s="6"/>
      <c r="G67" s="6"/>
      <c r="H67" s="6">
        <v>1</v>
      </c>
      <c r="I67" s="6"/>
      <c r="J67" s="7">
        <f>(D67*D$59)+(E67*E$59)+(F67*F$59)+(G67*G$59)+(H67*H$59)+(I67*I$59)</f>
        <v>50</v>
      </c>
      <c r="K67" s="23" t="str">
        <f t="shared" ref="K67:K71" si="11">IF(D67&gt;=100, 250, IF(D67&gt;=50, 150, IF(D67&gt;=30, 50, "")))</f>
        <v/>
      </c>
      <c r="L67" s="23" t="str">
        <f t="shared" ref="L67:L71" si="12">IF(E67=5, 200, IF(E67=3, 150, IF(E67=2, 50, "")))</f>
        <v/>
      </c>
      <c r="M67" s="23"/>
      <c r="N67" s="23"/>
      <c r="O67" s="23"/>
      <c r="P67" s="6"/>
      <c r="Q67" s="6"/>
      <c r="R67" s="24">
        <f>SUM(K67:Q67)</f>
        <v>0</v>
      </c>
      <c r="T67" s="33">
        <f>(R67+J67)*2</f>
        <v>100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305</v>
      </c>
    </row>
    <row r="68" spans="2:30" x14ac:dyDescent="0.3">
      <c r="B68" s="67"/>
      <c r="C68" s="19" t="s">
        <v>240</v>
      </c>
      <c r="D68" s="20"/>
      <c r="E68" s="1">
        <v>2</v>
      </c>
      <c r="F68" s="1"/>
      <c r="G68" s="1"/>
      <c r="H68" s="1"/>
      <c r="I68" s="1"/>
      <c r="J68" s="19">
        <f>(D68*D$59)+(E68*E$59)+(F68*F$59)+(G68*G$59)+(H68*H$59)+(I68*I$59)</f>
        <v>200</v>
      </c>
      <c r="K68" s="15" t="str">
        <f t="shared" si="11"/>
        <v/>
      </c>
      <c r="L68" s="20">
        <f t="shared" si="12"/>
        <v>50</v>
      </c>
      <c r="M68" s="20"/>
      <c r="N68" s="20"/>
      <c r="O68" s="20"/>
      <c r="P68" s="1"/>
      <c r="Q68" s="1"/>
      <c r="R68" s="17">
        <f>SUM(K68:Q68)</f>
        <v>50</v>
      </c>
      <c r="T68" s="14">
        <f>R68+J68</f>
        <v>250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59</v>
      </c>
      <c r="D69" s="20">
        <v>53</v>
      </c>
      <c r="E69" s="1">
        <v>1</v>
      </c>
      <c r="F69" s="1"/>
      <c r="G69" s="1"/>
      <c r="H69" s="1"/>
      <c r="I69" s="1"/>
      <c r="J69" s="19">
        <f>(D69*D$59)+(E69*E$59)+(F69*F$59)+(G69*G$59)+(H69*H$59)+(I69*I$59)</f>
        <v>365</v>
      </c>
      <c r="K69" s="15">
        <f t="shared" si="11"/>
        <v>150</v>
      </c>
      <c r="L69" s="20" t="str">
        <f t="shared" si="12"/>
        <v/>
      </c>
      <c r="M69" s="20"/>
      <c r="N69" s="20"/>
      <c r="O69" s="20"/>
      <c r="P69" s="1"/>
      <c r="Q69" s="1"/>
      <c r="R69" s="17">
        <f>SUM(K69:Q69)</f>
        <v>150</v>
      </c>
      <c r="T69" s="14">
        <f>R69+J69</f>
        <v>515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276</v>
      </c>
      <c r="D70" s="20">
        <v>19</v>
      </c>
      <c r="E70" s="1"/>
      <c r="F70" s="1"/>
      <c r="G70" s="1"/>
      <c r="H70" s="1"/>
      <c r="I70" s="1"/>
      <c r="J70" s="19">
        <f>(D70*D$59)+(E70*E$59)+(F70*F$59)+(G70*G$59)+(H70*H$59)+(I70*I$59)</f>
        <v>95</v>
      </c>
      <c r="K70" s="15" t="str">
        <f t="shared" si="11"/>
        <v/>
      </c>
      <c r="L70" s="20" t="str">
        <f t="shared" si="12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95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214</v>
      </c>
      <c r="D71" s="12"/>
      <c r="E71" s="10">
        <v>1</v>
      </c>
      <c r="F71" s="10"/>
      <c r="G71" s="10"/>
      <c r="H71" s="10"/>
      <c r="I71" s="10"/>
      <c r="J71" s="11">
        <f>(D71*D$59)+(E71*E$59)+(F71*F$59)+(G71*G$59)+(H71*H$59)+(I71*I$59)</f>
        <v>100</v>
      </c>
      <c r="K71" s="12" t="str">
        <f t="shared" si="11"/>
        <v/>
      </c>
      <c r="L71" s="12" t="str">
        <f t="shared" si="12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100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1060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57</v>
      </c>
      <c r="D73" s="23">
        <v>76</v>
      </c>
      <c r="E73" s="6"/>
      <c r="F73" s="6"/>
      <c r="G73" s="6"/>
      <c r="H73" s="6"/>
      <c r="I73" s="6"/>
      <c r="J73" s="7">
        <f>(D73*D$59)+(E73*E$59)+(F73*F$59)+(G73*G$59)+(H73*H$59)+(I73*I$59)</f>
        <v>380</v>
      </c>
      <c r="K73" s="23">
        <f t="shared" ref="K73:K77" si="13">IF(D73&gt;=100, 250, IF(D73&gt;=50, 150, IF(D73&gt;=30, 50, "")))</f>
        <v>150</v>
      </c>
      <c r="L73" s="23" t="str">
        <f t="shared" ref="L73:L77" si="14">IF(E73=5, 200, IF(E73=3, 150, IF(E73=2, 50, "")))</f>
        <v/>
      </c>
      <c r="M73" s="23"/>
      <c r="N73" s="23"/>
      <c r="O73" s="23">
        <v>150</v>
      </c>
      <c r="P73" s="6"/>
      <c r="Q73" s="6"/>
      <c r="R73" s="24">
        <f>SUM(K73:Q73)</f>
        <v>300</v>
      </c>
      <c r="T73" s="33">
        <f>(R73+J73)*2</f>
        <v>1360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66</v>
      </c>
      <c r="D74" s="20">
        <v>50</v>
      </c>
      <c r="E74" s="1"/>
      <c r="F74" s="1"/>
      <c r="G74" s="1"/>
      <c r="H74" s="1"/>
      <c r="I74" s="1"/>
      <c r="J74" s="19">
        <f>(D74*D$59)+(E74*E$59)+(F74*F$59)+(G74*G$59)+(H74*H$59)+(I74*I$59)</f>
        <v>250</v>
      </c>
      <c r="K74" s="15">
        <f t="shared" si="13"/>
        <v>150</v>
      </c>
      <c r="L74" s="20" t="str">
        <f t="shared" si="14"/>
        <v/>
      </c>
      <c r="M74" s="20"/>
      <c r="N74" s="20"/>
      <c r="O74" s="20"/>
      <c r="P74" s="1"/>
      <c r="Q74" s="1"/>
      <c r="R74" s="17">
        <f>SUM(K74:Q74)</f>
        <v>150</v>
      </c>
      <c r="T74" s="14">
        <f>R74+J74</f>
        <v>400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55</v>
      </c>
      <c r="D75" s="20"/>
      <c r="E75" s="1"/>
      <c r="F75" s="1"/>
      <c r="G75" s="1"/>
      <c r="H75" s="1">
        <v>1</v>
      </c>
      <c r="I75" s="1"/>
      <c r="J75" s="19">
        <f>(D75*D$59)+(E75*E$59)+(F75*F$59)+(G75*G$59)+(H75*H$59)+(I75*I$59)</f>
        <v>50</v>
      </c>
      <c r="K75" s="15" t="str">
        <f t="shared" si="13"/>
        <v/>
      </c>
      <c r="L75" s="20" t="str">
        <f t="shared" si="14"/>
        <v/>
      </c>
      <c r="M75" s="20"/>
      <c r="N75" s="20"/>
      <c r="O75" s="20"/>
      <c r="P75" s="1"/>
      <c r="Q75" s="1"/>
      <c r="R75" s="17">
        <f>SUM(K75:Q75)</f>
        <v>0</v>
      </c>
      <c r="T75" s="14">
        <f>R75+J75</f>
        <v>50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295</v>
      </c>
      <c r="D76" s="20">
        <v>4</v>
      </c>
      <c r="E76" s="1"/>
      <c r="F76" s="1"/>
      <c r="G76" s="1"/>
      <c r="H76" s="1"/>
      <c r="I76" s="1"/>
      <c r="J76" s="19">
        <f>(D76*D$59)+(E76*E$59)+(F76*F$59)+(G76*G$59)+(H76*H$59)+(I76*I$59)</f>
        <v>20</v>
      </c>
      <c r="K76" s="15" t="str">
        <f t="shared" si="13"/>
        <v/>
      </c>
      <c r="L76" s="20" t="str">
        <f t="shared" si="14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20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88</v>
      </c>
      <c r="D77" s="12"/>
      <c r="E77" s="10">
        <v>1</v>
      </c>
      <c r="F77" s="10"/>
      <c r="G77" s="10"/>
      <c r="H77" s="10">
        <v>1</v>
      </c>
      <c r="I77" s="10"/>
      <c r="J77" s="11">
        <f>(D77*D$59)+(E77*E$59)+(F77*F$59)+(G77*G$59)+(H77*H$59)+(I77*I$59)</f>
        <v>150</v>
      </c>
      <c r="K77" s="12" t="str">
        <f t="shared" si="13"/>
        <v/>
      </c>
      <c r="L77" s="12" t="str">
        <f t="shared" si="14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150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1980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166</v>
      </c>
      <c r="D79" s="23"/>
      <c r="E79" s="6"/>
      <c r="F79" s="6"/>
      <c r="G79" s="6"/>
      <c r="H79" s="6"/>
      <c r="I79" s="6"/>
      <c r="J79" s="7">
        <f>(D79*D$59)+(E79*E$59)+(F79*F$59)+(G79*G$59)+(H79*H$59)+(I79*I$59)</f>
        <v>0</v>
      </c>
      <c r="K79" s="23" t="str">
        <f t="shared" ref="K79:K83" si="15">IF(D79&gt;=100, 250, IF(D79&gt;=50, 150, IF(D79&gt;=30, 50, "")))</f>
        <v/>
      </c>
      <c r="L79" s="23" t="str">
        <f t="shared" ref="L79:L83" si="16">IF(E79=5, 200, IF(E79=3, 150, IF(E79=2, 50, "")))</f>
        <v/>
      </c>
      <c r="M79" s="23"/>
      <c r="N79" s="23"/>
      <c r="O79" s="23"/>
      <c r="P79" s="6"/>
      <c r="Q79" s="6"/>
      <c r="R79" s="24">
        <f>SUM(K79:Q79)</f>
        <v>0</v>
      </c>
      <c r="T79" s="33">
        <f>(R79+J79)*2</f>
        <v>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36</v>
      </c>
      <c r="D80" s="20">
        <v>5</v>
      </c>
      <c r="E80" s="1"/>
      <c r="F80" s="1"/>
      <c r="G80" s="1"/>
      <c r="H80" s="1"/>
      <c r="I80" s="1"/>
      <c r="J80" s="19">
        <f>(D80*D$59)+(E80*E$59)+(F80*F$59)+(G80*G$59)+(H80*H$59)+(I80*I$59)</f>
        <v>25</v>
      </c>
      <c r="K80" s="15" t="str">
        <f t="shared" si="15"/>
        <v/>
      </c>
      <c r="L80" s="20" t="str">
        <f t="shared" si="16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25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77</v>
      </c>
      <c r="D81" s="20"/>
      <c r="E81" s="1"/>
      <c r="F81" s="1"/>
      <c r="G81" s="1"/>
      <c r="H81" s="1"/>
      <c r="I81" s="1"/>
      <c r="J81" s="19">
        <f>(D81*D$59)+(E81*E$59)+(F81*F$59)+(G81*G$59)+(H81*H$59)+(I81*I$59)</f>
        <v>0</v>
      </c>
      <c r="K81" s="15" t="str">
        <f t="shared" si="15"/>
        <v/>
      </c>
      <c r="L81" s="20" t="str">
        <f t="shared" si="16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296</v>
      </c>
      <c r="D82" s="20">
        <v>32</v>
      </c>
      <c r="E82" s="1"/>
      <c r="F82" s="1"/>
      <c r="G82" s="1"/>
      <c r="H82" s="1">
        <v>1</v>
      </c>
      <c r="I82" s="1"/>
      <c r="J82" s="19">
        <f>(D82*D$59)+(E82*E$59)+(F82*F$59)+(G82*G$59)+(H82*H$59)+(I82*I$59)</f>
        <v>210</v>
      </c>
      <c r="K82" s="15">
        <f t="shared" si="15"/>
        <v>50</v>
      </c>
      <c r="L82" s="20" t="str">
        <f t="shared" si="16"/>
        <v/>
      </c>
      <c r="M82" s="20" t="s">
        <v>258</v>
      </c>
      <c r="N82" s="20"/>
      <c r="O82" s="20"/>
      <c r="P82" s="1"/>
      <c r="Q82" s="1"/>
      <c r="R82" s="17">
        <f>SUM(K82:Q82)</f>
        <v>50</v>
      </c>
      <c r="T82" s="14">
        <f>R82+J82</f>
        <v>260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184</v>
      </c>
      <c r="D83" s="12">
        <v>4</v>
      </c>
      <c r="E83" s="10"/>
      <c r="F83" s="10"/>
      <c r="G83" s="10"/>
      <c r="H83" s="10"/>
      <c r="I83" s="10"/>
      <c r="J83" s="11">
        <f>(D83*D$59)+(E83*E$59)+(F83*F$59)+(G83*G$59)+(H83*H$59)+(I83*I$59)</f>
        <v>20</v>
      </c>
      <c r="K83" s="12" t="str">
        <f t="shared" si="15"/>
        <v/>
      </c>
      <c r="L83" s="12" t="str">
        <f t="shared" si="16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20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AJ84"/>
  <sheetViews>
    <sheetView zoomScale="90" zoomScaleNormal="90" workbookViewId="0">
      <selection activeCell="AC43" sqref="AC43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8845</v>
      </c>
      <c r="Y28" s="42">
        <f>SUM(Y29:Y36)</f>
        <v>-5855</v>
      </c>
      <c r="Z28" s="42">
        <f>SUM(Z29:Z36)</f>
        <v>-630</v>
      </c>
      <c r="AA28" s="42">
        <f>SUM(AA29:AA36)</f>
        <v>-2360</v>
      </c>
    </row>
    <row r="29" spans="2:36" x14ac:dyDescent="0.3">
      <c r="B29" s="66" t="s">
        <v>211</v>
      </c>
      <c r="C29" s="55" t="s">
        <v>300</v>
      </c>
      <c r="D29" s="5">
        <v>52</v>
      </c>
      <c r="E29" s="6"/>
      <c r="F29" s="6"/>
      <c r="G29" s="6"/>
      <c r="H29" s="6"/>
      <c r="I29" s="6"/>
      <c r="J29" s="7">
        <f>(D29*D$59)+(E29*E$59)+(F29*F$59)+(G29*G$59)+(H29*H$59)+(I29*I$59)</f>
        <v>260</v>
      </c>
      <c r="K29" s="15">
        <f>IF(D29&gt;=100, 250, IF(D29&gt;=50, 150, IF(D29&gt;=30, 50, "")))</f>
        <v>150</v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150</v>
      </c>
      <c r="T29" s="14">
        <f>(R29+J29)*2</f>
        <v>820</v>
      </c>
      <c r="V29" s="28">
        <v>1</v>
      </c>
      <c r="W29" s="29">
        <v>45764</v>
      </c>
      <c r="X29" s="28">
        <v>-5</v>
      </c>
      <c r="Y29" s="28">
        <v>-330</v>
      </c>
      <c r="Z29" s="28">
        <v>-140</v>
      </c>
      <c r="AA29" s="28">
        <v>475</v>
      </c>
    </row>
    <row r="30" spans="2:36" x14ac:dyDescent="0.3">
      <c r="B30" s="67"/>
      <c r="C30" s="4" t="s">
        <v>145</v>
      </c>
      <c r="D30" s="18"/>
      <c r="E30" s="1"/>
      <c r="F30" s="1"/>
      <c r="G30" s="1"/>
      <c r="H30" s="1"/>
      <c r="I30" s="1"/>
      <c r="J30" s="19">
        <f>(D30*D$59)+(E30*E$59)+(F30*F$59)+(G30*G$59)+(H30*H$59)+(I30*I$59)</f>
        <v>0</v>
      </c>
      <c r="K30" s="15" t="str">
        <f t="shared" ref="K30:K33" si="0">IF(D30&gt;=100, 250, IF(D30&gt;=50, 150, IF(D30&gt;=30, 50, "")))</f>
        <v/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0</v>
      </c>
      <c r="T30" s="14">
        <f>R30+J30</f>
        <v>0</v>
      </c>
      <c r="V30" s="28">
        <v>2</v>
      </c>
      <c r="W30" s="29">
        <v>45766</v>
      </c>
      <c r="X30" s="45">
        <v>4760</v>
      </c>
      <c r="Y30" s="45">
        <v>-1360</v>
      </c>
      <c r="Z30" s="45">
        <v>-1910</v>
      </c>
      <c r="AA30" s="45">
        <v>-1490</v>
      </c>
    </row>
    <row r="31" spans="2:36" x14ac:dyDescent="0.3">
      <c r="B31" s="67"/>
      <c r="C31" s="4" t="s">
        <v>301</v>
      </c>
      <c r="D31" s="18"/>
      <c r="E31" s="1">
        <v>2</v>
      </c>
      <c r="F31" s="1"/>
      <c r="G31" s="1"/>
      <c r="H31" s="1">
        <v>1</v>
      </c>
      <c r="I31" s="1"/>
      <c r="J31" s="19">
        <f>(D31*D$59)+(E31*E$59)+(F31*F$59)+(G31*G$59)+(H31*H$59)+(I31*I$59)</f>
        <v>250</v>
      </c>
      <c r="K31" s="15" t="str">
        <f t="shared" si="0"/>
        <v/>
      </c>
      <c r="L31" s="20">
        <f t="shared" si="1"/>
        <v>50</v>
      </c>
      <c r="M31" s="20" t="s">
        <v>258</v>
      </c>
      <c r="N31" s="20"/>
      <c r="O31" s="20"/>
      <c r="P31" s="1"/>
      <c r="Q31" s="1"/>
      <c r="R31" s="17">
        <f>SUM(K31:Q31)</f>
        <v>50</v>
      </c>
      <c r="T31" s="14">
        <f>R31+J31</f>
        <v>300</v>
      </c>
      <c r="V31" s="28">
        <v>3</v>
      </c>
      <c r="W31" s="29">
        <v>45766</v>
      </c>
      <c r="X31" s="45">
        <v>2335</v>
      </c>
      <c r="Y31" s="45">
        <v>-1150</v>
      </c>
      <c r="Z31" s="45">
        <v>-990</v>
      </c>
      <c r="AA31" s="45">
        <v>-195</v>
      </c>
    </row>
    <row r="32" spans="2:36" x14ac:dyDescent="0.3">
      <c r="B32" s="67"/>
      <c r="C32" s="4" t="s">
        <v>142</v>
      </c>
      <c r="D32" s="18">
        <v>0</v>
      </c>
      <c r="E32" s="1"/>
      <c r="F32" s="1"/>
      <c r="G32" s="1"/>
      <c r="H32" s="1"/>
      <c r="I32" s="1">
        <v>1</v>
      </c>
      <c r="J32" s="19">
        <f>(D32*D$59)+(E32*E$59)+(F32*F$59)+(G32*G$59)+(H32*H$59)+(I32*I$59)</f>
        <v>-50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-50</v>
      </c>
      <c r="V32" s="28">
        <v>4</v>
      </c>
      <c r="W32" s="44">
        <v>45767</v>
      </c>
      <c r="X32" s="45">
        <v>3155</v>
      </c>
      <c r="Y32" s="45">
        <v>-970</v>
      </c>
      <c r="Z32" s="45">
        <v>-930</v>
      </c>
      <c r="AA32" s="45">
        <v>-1255</v>
      </c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69</v>
      </c>
      <c r="D33" s="9">
        <v>17</v>
      </c>
      <c r="E33" s="10"/>
      <c r="F33" s="10"/>
      <c r="G33" s="10"/>
      <c r="H33" s="10">
        <v>1</v>
      </c>
      <c r="I33" s="10"/>
      <c r="J33" s="11">
        <f>(D33*D$59)+(E33*E$59)+(F33*F$59)+(G33*G$59)+(H33*H$59)+(I33*I$59)</f>
        <v>135</v>
      </c>
      <c r="K33" s="12" t="str">
        <f t="shared" si="0"/>
        <v/>
      </c>
      <c r="L33" s="12" t="str">
        <f t="shared" si="1"/>
        <v/>
      </c>
      <c r="M33" s="12" t="s">
        <v>258</v>
      </c>
      <c r="N33" s="12"/>
      <c r="O33" s="12"/>
      <c r="P33" s="10"/>
      <c r="Q33" s="10"/>
      <c r="R33" s="13">
        <f>SUM(K33:Q33)</f>
        <v>0</v>
      </c>
      <c r="T33" s="22">
        <f>(R33+J33)</f>
        <v>135</v>
      </c>
      <c r="V33" s="28">
        <v>5</v>
      </c>
      <c r="W33" s="29">
        <v>45767</v>
      </c>
      <c r="X33" s="28">
        <v>-900</v>
      </c>
      <c r="Y33" s="28">
        <v>-920</v>
      </c>
      <c r="Z33" s="28">
        <v>3495</v>
      </c>
      <c r="AA33" s="28">
        <v>-1675</v>
      </c>
      <c r="AC33" s="28" t="s">
        <v>211</v>
      </c>
      <c r="AD33" s="28">
        <f>T34</f>
        <v>1205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57">
        <f>SUM(T29:T33)</f>
        <v>1205</v>
      </c>
      <c r="V34" s="28">
        <v>6</v>
      </c>
      <c r="W34" s="29">
        <v>45768</v>
      </c>
      <c r="X34" s="28">
        <f>T34-T52</f>
        <v>-500</v>
      </c>
      <c r="Y34" s="28">
        <f>T40-T52</f>
        <v>-1125</v>
      </c>
      <c r="Z34" s="28">
        <f>T46-T52</f>
        <v>-155</v>
      </c>
      <c r="AA34" s="28">
        <f>-(X34+Y34+Z34)</f>
        <v>1780</v>
      </c>
      <c r="AC34" s="28" t="s">
        <v>96</v>
      </c>
      <c r="AD34" s="28">
        <f>T40</f>
        <v>580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56" t="s">
        <v>49</v>
      </c>
      <c r="D35" s="23">
        <v>17</v>
      </c>
      <c r="E35" s="6"/>
      <c r="F35" s="6"/>
      <c r="G35" s="6"/>
      <c r="H35" s="6"/>
      <c r="I35" s="6"/>
      <c r="J35" s="7">
        <f>(D35*D$59)+(E35*E$59)+(F35*F$59)+(G35*G$59)+(H35*H$59)+(I35*I$59)</f>
        <v>85</v>
      </c>
      <c r="K35" s="23" t="str">
        <f t="shared" ref="K35:K39" si="2">IF(D35&gt;=100, 250, IF(D35&gt;=50, 150, IF(D35&gt;=30, 50, "")))</f>
        <v/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0</v>
      </c>
      <c r="T35" s="33">
        <f>(R35+J35)*2</f>
        <v>170</v>
      </c>
      <c r="V35" s="28">
        <v>7</v>
      </c>
      <c r="W35" s="29"/>
      <c r="X35" s="28"/>
      <c r="Y35" s="28"/>
      <c r="Z35" s="28"/>
      <c r="AA35" s="28"/>
      <c r="AC35" s="28" t="s">
        <v>97</v>
      </c>
      <c r="AD35" s="28">
        <f>T46</f>
        <v>1550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299</v>
      </c>
      <c r="D36" s="20"/>
      <c r="E36" s="1"/>
      <c r="F36" s="1"/>
      <c r="G36" s="1"/>
      <c r="H36" s="1"/>
      <c r="I36" s="1"/>
      <c r="J36" s="19">
        <f>(D36*D$59)+(E36*E$59)+(F36*F$59)+(G36*G$59)+(H36*H$59)+(I36*I$59)</f>
        <v>0</v>
      </c>
      <c r="K36" s="15" t="str">
        <f t="shared" si="2"/>
        <v/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0</v>
      </c>
      <c r="T36" s="14">
        <f>R36+J36</f>
        <v>0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1705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140</v>
      </c>
      <c r="D37" s="20">
        <v>1</v>
      </c>
      <c r="E37" s="1">
        <v>1</v>
      </c>
      <c r="F37" s="1"/>
      <c r="G37" s="1"/>
      <c r="H37" s="1"/>
      <c r="I37" s="1"/>
      <c r="J37" s="19">
        <f>(D37*D$59)+(E37*E$59)+(F37*F$59)+(G37*G$59)+(H37*H$59)+(I37*I$59)</f>
        <v>105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105</v>
      </c>
      <c r="V37" s="28"/>
      <c r="W37" s="29"/>
      <c r="X37" s="28"/>
      <c r="Y37" s="28"/>
      <c r="Z37" s="28"/>
      <c r="AA37" s="28"/>
      <c r="AF37" s="49" t="s">
        <v>284</v>
      </c>
      <c r="AG37" s="49">
        <f>X28</f>
        <v>8845</v>
      </c>
      <c r="AH37" s="49">
        <f>Y28</f>
        <v>-5855</v>
      </c>
      <c r="AI37" s="49">
        <f>Z28</f>
        <v>-630</v>
      </c>
      <c r="AJ37" s="49">
        <f>AA28</f>
        <v>-2360</v>
      </c>
    </row>
    <row r="38" spans="2:36" x14ac:dyDescent="0.3">
      <c r="B38" s="67"/>
      <c r="C38" s="19" t="s">
        <v>135</v>
      </c>
      <c r="D38" s="20"/>
      <c r="E38" s="1">
        <v>2</v>
      </c>
      <c r="F38" s="1"/>
      <c r="G38" s="1"/>
      <c r="H38" s="1"/>
      <c r="I38" s="1"/>
      <c r="J38" s="19">
        <f>(D38*D$59)+(E38*E$59)+(F38*F$59)+(G38*G$59)+(H38*H$59)+(I38*I$59)</f>
        <v>200</v>
      </c>
      <c r="K38" s="15" t="str">
        <f t="shared" si="2"/>
        <v/>
      </c>
      <c r="L38" s="20">
        <f t="shared" si="3"/>
        <v>50</v>
      </c>
      <c r="M38" s="20"/>
      <c r="N38" s="20"/>
      <c r="O38" s="20"/>
      <c r="P38" s="1"/>
      <c r="Q38" s="1"/>
      <c r="R38" s="17">
        <f>SUM(K38:Q38)</f>
        <v>50</v>
      </c>
      <c r="T38" s="14">
        <f>R38+J38</f>
        <v>250</v>
      </c>
      <c r="V38" s="28"/>
      <c r="W38" s="29"/>
      <c r="X38" s="28"/>
      <c r="Y38" s="28"/>
      <c r="Z38" s="28"/>
      <c r="AA38" s="28"/>
      <c r="AF38" s="49" t="s">
        <v>0</v>
      </c>
      <c r="AG38" s="49">
        <f>SUM(AG33:AG37)</f>
        <v>14560</v>
      </c>
      <c r="AH38" s="49">
        <f t="shared" ref="AH38:AJ38" si="4">SUM(AH33:AH37)</f>
        <v>-780</v>
      </c>
      <c r="AI38" s="49">
        <f t="shared" si="4"/>
        <v>5510</v>
      </c>
      <c r="AJ38" s="49">
        <f t="shared" si="4"/>
        <v>-19290</v>
      </c>
    </row>
    <row r="39" spans="2:36" ht="15" thickBot="1" x14ac:dyDescent="0.35">
      <c r="B39" s="68"/>
      <c r="C39" s="11" t="s">
        <v>137</v>
      </c>
      <c r="D39" s="12">
        <v>11</v>
      </c>
      <c r="E39" s="10"/>
      <c r="F39" s="10"/>
      <c r="G39" s="10"/>
      <c r="H39" s="10"/>
      <c r="I39" s="10"/>
      <c r="J39" s="11">
        <f>(D39*D$59)+(E39*E$59)+(F39*F$59)+(G39*G$59)+(H39*H$59)+(I39*I$59)</f>
        <v>55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55</v>
      </c>
      <c r="V39" s="28"/>
      <c r="W39" s="29"/>
      <c r="X39" s="28"/>
      <c r="Y39" s="28"/>
      <c r="Z39" s="28"/>
      <c r="AA39" s="28"/>
    </row>
    <row r="40" spans="2:36" ht="15" thickBot="1" x14ac:dyDescent="0.35">
      <c r="K40" s="2" t="s">
        <v>258</v>
      </c>
      <c r="L40" s="2" t="s">
        <v>258</v>
      </c>
      <c r="T40" s="57">
        <f>SUM(T35:T39)</f>
        <v>580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56" t="s">
        <v>167</v>
      </c>
      <c r="D41" s="23">
        <v>41</v>
      </c>
      <c r="E41" s="6"/>
      <c r="F41" s="6"/>
      <c r="G41" s="6">
        <v>2</v>
      </c>
      <c r="H41" s="6"/>
      <c r="I41" s="6"/>
      <c r="J41" s="7">
        <f>(D41*D$59)+(E41*E$59)+(F41*F$59)+(G41*G$59)+(H41*H$59)+(I41*I$59)</f>
        <v>305</v>
      </c>
      <c r="K41" s="23">
        <f t="shared" ref="K41:K45" si="5">IF(D41&gt;=100, 250, IF(D41&gt;=50, 150, IF(D41&gt;=30, 50, "")))</f>
        <v>50</v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50</v>
      </c>
      <c r="T41" s="33">
        <f>(R41+J41)*2</f>
        <v>710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25</v>
      </c>
      <c r="D42" s="20">
        <v>50</v>
      </c>
      <c r="E42" s="1"/>
      <c r="F42" s="1"/>
      <c r="G42" s="1"/>
      <c r="H42" s="1"/>
      <c r="I42" s="1"/>
      <c r="J42" s="19">
        <f>(D42*D$59)+(E42*E$59)+(F42*F$59)+(G42*G$59)+(H42*H$59)+(I42*I$59)</f>
        <v>250</v>
      </c>
      <c r="K42" s="15">
        <f t="shared" si="5"/>
        <v>150</v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150</v>
      </c>
      <c r="T42" s="14">
        <f>R42+J42</f>
        <v>400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205</v>
      </c>
      <c r="D43" s="20">
        <v>27</v>
      </c>
      <c r="E43" s="1"/>
      <c r="F43" s="1"/>
      <c r="G43" s="1"/>
      <c r="H43" s="1"/>
      <c r="I43" s="1"/>
      <c r="J43" s="19">
        <f>(D43*D$59)+(E43*E$59)+(F43*F$59)+(G43*G$59)+(H43*H$59)+(I43*I$59)</f>
        <v>135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135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64</v>
      </c>
      <c r="D44" s="20">
        <v>21</v>
      </c>
      <c r="E44" s="1">
        <v>1</v>
      </c>
      <c r="F44" s="1"/>
      <c r="G44" s="1"/>
      <c r="H44" s="1"/>
      <c r="I44" s="1"/>
      <c r="J44" s="19">
        <f>(D44*D$59)+(E44*E$59)+(F44*F$59)+(G44*G$59)+(H44*H$59)+(I44*I$59)</f>
        <v>205</v>
      </c>
      <c r="K44" s="15" t="str">
        <f t="shared" si="5"/>
        <v/>
      </c>
      <c r="L44" s="20" t="str">
        <f t="shared" si="6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205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298</v>
      </c>
      <c r="D45" s="12"/>
      <c r="E45" s="10">
        <v>1</v>
      </c>
      <c r="F45" s="10"/>
      <c r="G45" s="10"/>
      <c r="H45" s="10"/>
      <c r="I45" s="10"/>
      <c r="J45" s="11">
        <f>(D45*D$59)+(E45*E$59)+(F45*F$59)+(G45*G$59)+(H45*H$59)+(I45*I$59)</f>
        <v>100</v>
      </c>
      <c r="K45" s="12" t="str">
        <f t="shared" si="5"/>
        <v/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100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57">
        <f>SUM(T41:T45)</f>
        <v>1550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56" t="s">
        <v>120</v>
      </c>
      <c r="D47" s="23">
        <v>90</v>
      </c>
      <c r="E47" s="6"/>
      <c r="F47" s="6"/>
      <c r="G47" s="6"/>
      <c r="H47" s="6">
        <v>1</v>
      </c>
      <c r="I47" s="6"/>
      <c r="J47" s="7">
        <f>(D47*D$59)+(E47*E$59)+(F47*F$59)+(G47*G$59)+(H47*H$59)+(I47*I$59)</f>
        <v>500</v>
      </c>
      <c r="K47" s="23">
        <f t="shared" ref="K47:K51" si="7">IF(D47&gt;=100, 250, IF(D47&gt;=50, 150, IF(D47&gt;=30, 50, "")))</f>
        <v>150</v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150</v>
      </c>
      <c r="T47" s="33">
        <f>(R47+J47)*2</f>
        <v>1300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297</v>
      </c>
      <c r="D48" s="20">
        <v>1</v>
      </c>
      <c r="E48" s="1"/>
      <c r="F48" s="1"/>
      <c r="G48" s="1"/>
      <c r="H48" s="1">
        <v>1</v>
      </c>
      <c r="I48" s="1"/>
      <c r="J48" s="19">
        <f>(D48*D$59)+(E48*E$59)+(F48*F$59)+(G48*G$59)+(H48*H$59)+(I48*I$59)</f>
        <v>55</v>
      </c>
      <c r="K48" s="15" t="str">
        <f t="shared" si="7"/>
        <v/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0</v>
      </c>
      <c r="T48" s="14">
        <f>R48+J48</f>
        <v>55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21</v>
      </c>
      <c r="D49" s="20"/>
      <c r="E49" s="1">
        <v>1</v>
      </c>
      <c r="F49" s="1"/>
      <c r="G49" s="1"/>
      <c r="H49" s="1"/>
      <c r="I49" s="1"/>
      <c r="J49" s="19">
        <f>(D49*D$59)+(E49*E$59)+(F49*F$59)+(G49*G$59)+(H49*H$59)+(I49*I$59)</f>
        <v>100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100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230</v>
      </c>
      <c r="D50" s="20"/>
      <c r="E50" s="1">
        <v>1</v>
      </c>
      <c r="F50" s="1"/>
      <c r="G50" s="1"/>
      <c r="H50" s="1">
        <v>1</v>
      </c>
      <c r="I50" s="1"/>
      <c r="J50" s="19">
        <f>(D50*D$59)+(E50*E$59)+(F50*F$59)+(G50*G$59)+(H50*H$59)+(I50*I$59)</f>
        <v>150</v>
      </c>
      <c r="K50" s="15" t="str">
        <f t="shared" si="7"/>
        <v/>
      </c>
      <c r="L50" s="20" t="str">
        <f t="shared" si="8"/>
        <v/>
      </c>
      <c r="M50" s="20" t="s">
        <v>258</v>
      </c>
      <c r="N50" s="20"/>
      <c r="O50" s="20"/>
      <c r="P50" s="1"/>
      <c r="Q50" s="1"/>
      <c r="R50" s="17">
        <f>SUM(K50:Q50)</f>
        <v>0</v>
      </c>
      <c r="T50" s="14">
        <f>R50+J50</f>
        <v>150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244</v>
      </c>
      <c r="D51" s="12"/>
      <c r="E51" s="10">
        <v>1</v>
      </c>
      <c r="F51" s="10"/>
      <c r="G51" s="10"/>
      <c r="H51" s="10"/>
      <c r="I51" s="10"/>
      <c r="J51" s="11">
        <f>(D51*D$59)+(E51*E$59)+(F51*F$59)+(G51*G$59)+(H51*H$59)+(I51*I$59)</f>
        <v>100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100</v>
      </c>
      <c r="V51" s="28"/>
      <c r="W51" s="29"/>
      <c r="X51" s="28"/>
      <c r="Y51" s="28"/>
      <c r="Z51" s="28"/>
      <c r="AA51" s="28"/>
    </row>
    <row r="52" spans="2:30" ht="15" thickBot="1" x14ac:dyDescent="0.35">
      <c r="T52" s="57">
        <f>SUM(T47:T51)</f>
        <v>1705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9345</v>
      </c>
      <c r="Y60" s="42">
        <f>SUM(Y61:Y68)</f>
        <v>-4730</v>
      </c>
      <c r="Z60" s="42">
        <f>SUM(Z61:Z68)</f>
        <v>-475</v>
      </c>
      <c r="AA60" s="42">
        <f>SUM(AA61:AA68)</f>
        <v>-4140</v>
      </c>
    </row>
    <row r="61" spans="2:30" x14ac:dyDescent="0.3">
      <c r="B61" s="66" t="s">
        <v>211</v>
      </c>
      <c r="C61" s="38" t="s">
        <v>111</v>
      </c>
      <c r="D61" s="5">
        <v>24</v>
      </c>
      <c r="E61" s="6"/>
      <c r="F61" s="6"/>
      <c r="G61" s="6">
        <v>1</v>
      </c>
      <c r="H61" s="6">
        <v>1</v>
      </c>
      <c r="I61" s="6"/>
      <c r="J61" s="7">
        <f>(D61*D$59)+(E61*E$59)+(F61*F$59)+(G61*G$59)+(H61*H$59)+(I61*I$59)</f>
        <v>220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440</v>
      </c>
      <c r="V61" s="28">
        <v>1</v>
      </c>
      <c r="W61" s="29">
        <v>45764</v>
      </c>
      <c r="X61" s="28">
        <v>-5</v>
      </c>
      <c r="Y61" s="28">
        <v>-330</v>
      </c>
      <c r="Z61" s="28">
        <v>-140</v>
      </c>
      <c r="AA61" s="28">
        <v>475</v>
      </c>
    </row>
    <row r="62" spans="2:30" x14ac:dyDescent="0.3">
      <c r="B62" s="67"/>
      <c r="C62" s="4" t="s">
        <v>70</v>
      </c>
      <c r="D62" s="18">
        <v>68</v>
      </c>
      <c r="E62" s="1"/>
      <c r="F62" s="1"/>
      <c r="G62" s="1"/>
      <c r="H62" s="1"/>
      <c r="I62" s="1"/>
      <c r="J62" s="19">
        <f>(D62*D$59)+(E62*E$59)+(F62*F$59)+(G62*G$59)+(H62*H$59)+(I62*I$59)</f>
        <v>340</v>
      </c>
      <c r="K62" s="15">
        <f t="shared" ref="K62:K65" si="9">IF(D62&gt;=100, 250, IF(D62&gt;=50, 150, IF(D62&gt;=30, 50, "")))</f>
        <v>150</v>
      </c>
      <c r="L62" s="20" t="str">
        <f t="shared" ref="L62:L65" si="10">IF(E62=5, 200, IF(E62=3, 150, IF(E62=2, 50, "")))</f>
        <v/>
      </c>
      <c r="M62" s="20" t="s">
        <v>258</v>
      </c>
      <c r="N62" s="20"/>
      <c r="O62" s="20">
        <v>150</v>
      </c>
      <c r="P62" s="1"/>
      <c r="Q62" s="1"/>
      <c r="R62" s="17">
        <f>SUM(K62:Q62)</f>
        <v>300</v>
      </c>
      <c r="T62" s="14">
        <f>R62+J62</f>
        <v>640</v>
      </c>
      <c r="V62" s="28">
        <v>2</v>
      </c>
      <c r="W62" s="29">
        <v>45766</v>
      </c>
      <c r="X62" s="45">
        <v>4760</v>
      </c>
      <c r="Y62" s="45">
        <v>-1360</v>
      </c>
      <c r="Z62" s="45">
        <v>-1910</v>
      </c>
      <c r="AA62" s="45">
        <v>-1490</v>
      </c>
    </row>
    <row r="63" spans="2:30" x14ac:dyDescent="0.3">
      <c r="B63" s="67"/>
      <c r="C63" s="4" t="s">
        <v>51</v>
      </c>
      <c r="D63" s="18"/>
      <c r="E63" s="1"/>
      <c r="F63" s="1"/>
      <c r="G63" s="1"/>
      <c r="H63" s="1"/>
      <c r="I63" s="1"/>
      <c r="J63" s="19">
        <f>(D63*D$59)+(E63*E$59)+(F63*F$59)+(G63*G$59)+(H63*H$59)+(I63*I$59)</f>
        <v>0</v>
      </c>
      <c r="K63" s="15" t="str">
        <f t="shared" si="9"/>
        <v/>
      </c>
      <c r="L63" s="20" t="str">
        <f t="shared" si="10"/>
        <v/>
      </c>
      <c r="M63" s="20" t="s">
        <v>258</v>
      </c>
      <c r="N63" s="20"/>
      <c r="O63" s="20"/>
      <c r="P63" s="1"/>
      <c r="Q63" s="1"/>
      <c r="R63" s="17">
        <f>SUM(K63:Q63)</f>
        <v>0</v>
      </c>
      <c r="T63" s="14">
        <f>R63+J63</f>
        <v>0</v>
      </c>
      <c r="V63" s="28">
        <v>3</v>
      </c>
      <c r="W63" s="29">
        <v>45766</v>
      </c>
      <c r="X63" s="45">
        <v>2335</v>
      </c>
      <c r="Y63" s="45">
        <v>-1150</v>
      </c>
      <c r="Z63" s="45">
        <v>-990</v>
      </c>
      <c r="AA63" s="45">
        <v>-195</v>
      </c>
      <c r="AC63" s="50" t="s">
        <v>5</v>
      </c>
      <c r="AD63" s="50" t="s">
        <v>235</v>
      </c>
    </row>
    <row r="64" spans="2:30" x14ac:dyDescent="0.3">
      <c r="B64" s="67"/>
      <c r="C64" s="4" t="s">
        <v>26</v>
      </c>
      <c r="D64" s="18"/>
      <c r="E64" s="1"/>
      <c r="F64" s="1"/>
      <c r="G64" s="1"/>
      <c r="H64" s="1"/>
      <c r="I64" s="1"/>
      <c r="J64" s="19">
        <f>(D64*D$59)+(E64*E$59)+(F64*F$59)+(G64*G$59)+(H64*H$59)+(I64*I$59)</f>
        <v>0</v>
      </c>
      <c r="K64" s="15" t="str">
        <f t="shared" si="9"/>
        <v/>
      </c>
      <c r="L64" s="20" t="str">
        <f t="shared" si="10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44">
        <v>45767</v>
      </c>
      <c r="X64" s="45">
        <v>3155</v>
      </c>
      <c r="Y64" s="45">
        <v>-970</v>
      </c>
      <c r="Z64" s="45">
        <v>-930</v>
      </c>
      <c r="AA64" s="45">
        <v>-1255</v>
      </c>
      <c r="AC64" s="28" t="s">
        <v>211</v>
      </c>
      <c r="AD64" s="28">
        <f>T66</f>
        <v>1080</v>
      </c>
    </row>
    <row r="65" spans="2:30" ht="15" thickBot="1" x14ac:dyDescent="0.35">
      <c r="B65" s="68"/>
      <c r="C65" s="21" t="s">
        <v>181</v>
      </c>
      <c r="D65" s="9"/>
      <c r="E65" s="10"/>
      <c r="F65" s="10"/>
      <c r="G65" s="10"/>
      <c r="H65" s="10"/>
      <c r="I65" s="10"/>
      <c r="J65" s="11">
        <f>(D65*D$59)+(E65*E$59)+(F65*F$59)+(G65*G$59)+(H65*H$59)+(I65*I$59)</f>
        <v>0</v>
      </c>
      <c r="K65" s="12" t="str">
        <f t="shared" si="9"/>
        <v/>
      </c>
      <c r="L65" s="12" t="str">
        <f t="shared" si="10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0</v>
      </c>
      <c r="V65" s="28">
        <v>5</v>
      </c>
      <c r="W65" s="29">
        <v>45767</v>
      </c>
      <c r="X65" s="28">
        <f>T66-T78</f>
        <v>-900</v>
      </c>
      <c r="Y65" s="28">
        <f>T72-T78</f>
        <v>-920</v>
      </c>
      <c r="Z65" s="28">
        <f>-(X65+Y65+AA65)</f>
        <v>3495</v>
      </c>
      <c r="AA65" s="28">
        <f>T84-T78</f>
        <v>-1675</v>
      </c>
      <c r="AC65" s="28" t="s">
        <v>96</v>
      </c>
      <c r="AD65" s="28">
        <f>T72</f>
        <v>1060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1080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1980</v>
      </c>
    </row>
    <row r="67" spans="2:30" x14ac:dyDescent="0.3">
      <c r="B67" s="66" t="s">
        <v>96</v>
      </c>
      <c r="C67" s="39" t="s">
        <v>75</v>
      </c>
      <c r="D67" s="23"/>
      <c r="E67" s="6"/>
      <c r="F67" s="6"/>
      <c r="G67" s="6"/>
      <c r="H67" s="6">
        <v>1</v>
      </c>
      <c r="I67" s="6"/>
      <c r="J67" s="7">
        <f>(D67*D$59)+(E67*E$59)+(F67*F$59)+(G67*G$59)+(H67*H$59)+(I67*I$59)</f>
        <v>50</v>
      </c>
      <c r="K67" s="23" t="str">
        <f t="shared" ref="K67:K71" si="11">IF(D67&gt;=100, 250, IF(D67&gt;=50, 150, IF(D67&gt;=30, 50, "")))</f>
        <v/>
      </c>
      <c r="L67" s="23" t="str">
        <f t="shared" ref="L67:L71" si="12">IF(E67=5, 200, IF(E67=3, 150, IF(E67=2, 50, "")))</f>
        <v/>
      </c>
      <c r="M67" s="23"/>
      <c r="N67" s="23"/>
      <c r="O67" s="23"/>
      <c r="P67" s="6"/>
      <c r="Q67" s="6"/>
      <c r="R67" s="24">
        <f>SUM(K67:Q67)</f>
        <v>0</v>
      </c>
      <c r="T67" s="33">
        <f>(R67+J67)*2</f>
        <v>100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305</v>
      </c>
    </row>
    <row r="68" spans="2:30" x14ac:dyDescent="0.3">
      <c r="B68" s="67"/>
      <c r="C68" s="19" t="s">
        <v>240</v>
      </c>
      <c r="D68" s="20"/>
      <c r="E68" s="1">
        <v>2</v>
      </c>
      <c r="F68" s="1"/>
      <c r="G68" s="1"/>
      <c r="H68" s="1"/>
      <c r="I68" s="1"/>
      <c r="J68" s="19">
        <f>(D68*D$59)+(E68*E$59)+(F68*F$59)+(G68*G$59)+(H68*H$59)+(I68*I$59)</f>
        <v>200</v>
      </c>
      <c r="K68" s="15" t="str">
        <f t="shared" si="11"/>
        <v/>
      </c>
      <c r="L68" s="20">
        <f t="shared" si="12"/>
        <v>50</v>
      </c>
      <c r="M68" s="20"/>
      <c r="N68" s="20"/>
      <c r="O68" s="20"/>
      <c r="P68" s="1"/>
      <c r="Q68" s="1"/>
      <c r="R68" s="17">
        <f>SUM(K68:Q68)</f>
        <v>50</v>
      </c>
      <c r="T68" s="14">
        <f>R68+J68</f>
        <v>250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59</v>
      </c>
      <c r="D69" s="20">
        <v>53</v>
      </c>
      <c r="E69" s="1">
        <v>1</v>
      </c>
      <c r="F69" s="1"/>
      <c r="G69" s="1"/>
      <c r="H69" s="1"/>
      <c r="I69" s="1"/>
      <c r="J69" s="19">
        <f>(D69*D$59)+(E69*E$59)+(F69*F$59)+(G69*G$59)+(H69*H$59)+(I69*I$59)</f>
        <v>365</v>
      </c>
      <c r="K69" s="15">
        <f t="shared" si="11"/>
        <v>150</v>
      </c>
      <c r="L69" s="20" t="str">
        <f t="shared" si="12"/>
        <v/>
      </c>
      <c r="M69" s="20"/>
      <c r="N69" s="20"/>
      <c r="O69" s="20"/>
      <c r="P69" s="1"/>
      <c r="Q69" s="1"/>
      <c r="R69" s="17">
        <f>SUM(K69:Q69)</f>
        <v>150</v>
      </c>
      <c r="T69" s="14">
        <f>R69+J69</f>
        <v>515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276</v>
      </c>
      <c r="D70" s="20">
        <v>19</v>
      </c>
      <c r="E70" s="1"/>
      <c r="F70" s="1"/>
      <c r="G70" s="1"/>
      <c r="H70" s="1"/>
      <c r="I70" s="1"/>
      <c r="J70" s="19">
        <f>(D70*D$59)+(E70*E$59)+(F70*F$59)+(G70*G$59)+(H70*H$59)+(I70*I$59)</f>
        <v>95</v>
      </c>
      <c r="K70" s="15" t="str">
        <f t="shared" si="11"/>
        <v/>
      </c>
      <c r="L70" s="20" t="str">
        <f t="shared" si="12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95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214</v>
      </c>
      <c r="D71" s="12"/>
      <c r="E71" s="10">
        <v>1</v>
      </c>
      <c r="F71" s="10"/>
      <c r="G71" s="10"/>
      <c r="H71" s="10"/>
      <c r="I71" s="10"/>
      <c r="J71" s="11">
        <f>(D71*D$59)+(E71*E$59)+(F71*F$59)+(G71*G$59)+(H71*H$59)+(I71*I$59)</f>
        <v>100</v>
      </c>
      <c r="K71" s="12" t="str">
        <f t="shared" si="11"/>
        <v/>
      </c>
      <c r="L71" s="12" t="str">
        <f t="shared" si="12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100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1060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57</v>
      </c>
      <c r="D73" s="23">
        <v>76</v>
      </c>
      <c r="E73" s="6"/>
      <c r="F73" s="6"/>
      <c r="G73" s="6"/>
      <c r="H73" s="6"/>
      <c r="I73" s="6"/>
      <c r="J73" s="7">
        <f>(D73*D$59)+(E73*E$59)+(F73*F$59)+(G73*G$59)+(H73*H$59)+(I73*I$59)</f>
        <v>380</v>
      </c>
      <c r="K73" s="23">
        <f t="shared" ref="K73:K77" si="13">IF(D73&gt;=100, 250, IF(D73&gt;=50, 150, IF(D73&gt;=30, 50, "")))</f>
        <v>150</v>
      </c>
      <c r="L73" s="23" t="str">
        <f t="shared" ref="L73:L77" si="14">IF(E73=5, 200, IF(E73=3, 150, IF(E73=2, 50, "")))</f>
        <v/>
      </c>
      <c r="M73" s="23"/>
      <c r="N73" s="23"/>
      <c r="O73" s="23">
        <v>150</v>
      </c>
      <c r="P73" s="6"/>
      <c r="Q73" s="6"/>
      <c r="R73" s="24">
        <f>SUM(K73:Q73)</f>
        <v>300</v>
      </c>
      <c r="T73" s="33">
        <f>(R73+J73)*2</f>
        <v>1360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66</v>
      </c>
      <c r="D74" s="20">
        <v>50</v>
      </c>
      <c r="E74" s="1"/>
      <c r="F74" s="1"/>
      <c r="G74" s="1"/>
      <c r="H74" s="1"/>
      <c r="I74" s="1"/>
      <c r="J74" s="19">
        <f>(D74*D$59)+(E74*E$59)+(F74*F$59)+(G74*G$59)+(H74*H$59)+(I74*I$59)</f>
        <v>250</v>
      </c>
      <c r="K74" s="15">
        <f t="shared" si="13"/>
        <v>150</v>
      </c>
      <c r="L74" s="20" t="str">
        <f t="shared" si="14"/>
        <v/>
      </c>
      <c r="M74" s="20"/>
      <c r="N74" s="20"/>
      <c r="O74" s="20"/>
      <c r="P74" s="1"/>
      <c r="Q74" s="1"/>
      <c r="R74" s="17">
        <f>SUM(K74:Q74)</f>
        <v>150</v>
      </c>
      <c r="T74" s="14">
        <f>R74+J74</f>
        <v>400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55</v>
      </c>
      <c r="D75" s="20"/>
      <c r="E75" s="1"/>
      <c r="F75" s="1"/>
      <c r="G75" s="1"/>
      <c r="H75" s="1">
        <v>1</v>
      </c>
      <c r="I75" s="1"/>
      <c r="J75" s="19">
        <f>(D75*D$59)+(E75*E$59)+(F75*F$59)+(G75*G$59)+(H75*H$59)+(I75*I$59)</f>
        <v>50</v>
      </c>
      <c r="K75" s="15" t="str">
        <f t="shared" si="13"/>
        <v/>
      </c>
      <c r="L75" s="20" t="str">
        <f t="shared" si="14"/>
        <v/>
      </c>
      <c r="M75" s="20"/>
      <c r="N75" s="20"/>
      <c r="O75" s="20"/>
      <c r="P75" s="1"/>
      <c r="Q75" s="1"/>
      <c r="R75" s="17">
        <f>SUM(K75:Q75)</f>
        <v>0</v>
      </c>
      <c r="T75" s="14">
        <f>R75+J75</f>
        <v>50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295</v>
      </c>
      <c r="D76" s="20">
        <v>4</v>
      </c>
      <c r="E76" s="1"/>
      <c r="F76" s="1"/>
      <c r="G76" s="1"/>
      <c r="H76" s="1"/>
      <c r="I76" s="1"/>
      <c r="J76" s="19">
        <f>(D76*D$59)+(E76*E$59)+(F76*F$59)+(G76*G$59)+(H76*H$59)+(I76*I$59)</f>
        <v>20</v>
      </c>
      <c r="K76" s="15" t="str">
        <f t="shared" si="13"/>
        <v/>
      </c>
      <c r="L76" s="20" t="str">
        <f t="shared" si="14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20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88</v>
      </c>
      <c r="D77" s="12"/>
      <c r="E77" s="10">
        <v>1</v>
      </c>
      <c r="F77" s="10"/>
      <c r="G77" s="10"/>
      <c r="H77" s="10">
        <v>1</v>
      </c>
      <c r="I77" s="10"/>
      <c r="J77" s="11">
        <f>(D77*D$59)+(E77*E$59)+(F77*F$59)+(G77*G$59)+(H77*H$59)+(I77*I$59)</f>
        <v>150</v>
      </c>
      <c r="K77" s="12" t="str">
        <f t="shared" si="13"/>
        <v/>
      </c>
      <c r="L77" s="12" t="str">
        <f t="shared" si="14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150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1980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166</v>
      </c>
      <c r="D79" s="23"/>
      <c r="E79" s="6"/>
      <c r="F79" s="6"/>
      <c r="G79" s="6"/>
      <c r="H79" s="6"/>
      <c r="I79" s="6"/>
      <c r="J79" s="7">
        <f>(D79*D$59)+(E79*E$59)+(F79*F$59)+(G79*G$59)+(H79*H$59)+(I79*I$59)</f>
        <v>0</v>
      </c>
      <c r="K79" s="23" t="str">
        <f t="shared" ref="K79:K83" si="15">IF(D79&gt;=100, 250, IF(D79&gt;=50, 150, IF(D79&gt;=30, 50, "")))</f>
        <v/>
      </c>
      <c r="L79" s="23" t="str">
        <f t="shared" ref="L79:L83" si="16">IF(E79=5, 200, IF(E79=3, 150, IF(E79=2, 50, "")))</f>
        <v/>
      </c>
      <c r="M79" s="23"/>
      <c r="N79" s="23"/>
      <c r="O79" s="23"/>
      <c r="P79" s="6"/>
      <c r="Q79" s="6"/>
      <c r="R79" s="24">
        <f>SUM(K79:Q79)</f>
        <v>0</v>
      </c>
      <c r="T79" s="33">
        <f>(R79+J79)*2</f>
        <v>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36</v>
      </c>
      <c r="D80" s="20">
        <v>5</v>
      </c>
      <c r="E80" s="1"/>
      <c r="F80" s="1"/>
      <c r="G80" s="1"/>
      <c r="H80" s="1"/>
      <c r="I80" s="1"/>
      <c r="J80" s="19">
        <f>(D80*D$59)+(E80*E$59)+(F80*F$59)+(G80*G$59)+(H80*H$59)+(I80*I$59)</f>
        <v>25</v>
      </c>
      <c r="K80" s="15" t="str">
        <f t="shared" si="15"/>
        <v/>
      </c>
      <c r="L80" s="20" t="str">
        <f t="shared" si="16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25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77</v>
      </c>
      <c r="D81" s="20"/>
      <c r="E81" s="1"/>
      <c r="F81" s="1"/>
      <c r="G81" s="1"/>
      <c r="H81" s="1"/>
      <c r="I81" s="1"/>
      <c r="J81" s="19">
        <f>(D81*D$59)+(E81*E$59)+(F81*F$59)+(G81*G$59)+(H81*H$59)+(I81*I$59)</f>
        <v>0</v>
      </c>
      <c r="K81" s="15" t="str">
        <f t="shared" si="15"/>
        <v/>
      </c>
      <c r="L81" s="20" t="str">
        <f t="shared" si="16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296</v>
      </c>
      <c r="D82" s="20">
        <v>32</v>
      </c>
      <c r="E82" s="1"/>
      <c r="F82" s="1"/>
      <c r="G82" s="1"/>
      <c r="H82" s="1">
        <v>1</v>
      </c>
      <c r="I82" s="1"/>
      <c r="J82" s="19">
        <f>(D82*D$59)+(E82*E$59)+(F82*F$59)+(G82*G$59)+(H82*H$59)+(I82*I$59)</f>
        <v>210</v>
      </c>
      <c r="K82" s="15">
        <f t="shared" si="15"/>
        <v>50</v>
      </c>
      <c r="L82" s="20" t="str">
        <f t="shared" si="16"/>
        <v/>
      </c>
      <c r="M82" s="20" t="s">
        <v>258</v>
      </c>
      <c r="N82" s="20"/>
      <c r="O82" s="20"/>
      <c r="P82" s="1"/>
      <c r="Q82" s="1"/>
      <c r="R82" s="17">
        <f>SUM(K82:Q82)</f>
        <v>50</v>
      </c>
      <c r="T82" s="14">
        <f>R82+J82</f>
        <v>260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184</v>
      </c>
      <c r="D83" s="12">
        <v>4</v>
      </c>
      <c r="E83" s="10"/>
      <c r="F83" s="10"/>
      <c r="G83" s="10"/>
      <c r="H83" s="10"/>
      <c r="I83" s="10"/>
      <c r="J83" s="11">
        <f>(D83*D$59)+(E83*E$59)+(F83*F$59)+(G83*G$59)+(H83*H$59)+(I83*I$59)</f>
        <v>20</v>
      </c>
      <c r="K83" s="12" t="str">
        <f t="shared" si="15"/>
        <v/>
      </c>
      <c r="L83" s="12" t="str">
        <f t="shared" si="16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20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AJ84"/>
  <sheetViews>
    <sheetView zoomScale="90" zoomScaleNormal="90" workbookViewId="0">
      <selection activeCell="AJ46" sqref="AJ46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7960</v>
      </c>
      <c r="Y28" s="42">
        <f>SUM(Y29:Y36)</f>
        <v>-7565</v>
      </c>
      <c r="Z28" s="42">
        <f>SUM(Z29:Z36)</f>
        <v>-2625</v>
      </c>
      <c r="AA28" s="42">
        <f>SUM(AA29:AA36)</f>
        <v>2230</v>
      </c>
    </row>
    <row r="29" spans="2:36" x14ac:dyDescent="0.3">
      <c r="B29" s="66" t="s">
        <v>211</v>
      </c>
      <c r="C29" s="55" t="s">
        <v>176</v>
      </c>
      <c r="D29" s="5">
        <v>57</v>
      </c>
      <c r="E29" s="6"/>
      <c r="F29" s="6"/>
      <c r="G29" s="6"/>
      <c r="H29" s="6"/>
      <c r="I29" s="6"/>
      <c r="J29" s="7">
        <f>(D29*D$59)+(E29*E$59)+(F29*F$59)+(G29*G$59)+(H29*H$59)+(I29*I$59)</f>
        <v>285</v>
      </c>
      <c r="K29" s="15">
        <f>IF(D29&gt;=100, 250, IF(D29&gt;=50, 150, IF(D29&gt;=30, 50, "")))</f>
        <v>150</v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150</v>
      </c>
      <c r="T29" s="14">
        <f>(R29+J29)*2</f>
        <v>870</v>
      </c>
      <c r="V29" s="28">
        <v>1</v>
      </c>
      <c r="W29" s="29">
        <v>45764</v>
      </c>
      <c r="X29" s="28">
        <v>-5</v>
      </c>
      <c r="Y29" s="28">
        <v>-330</v>
      </c>
      <c r="Z29" s="28">
        <v>-140</v>
      </c>
      <c r="AA29" s="28">
        <v>475</v>
      </c>
    </row>
    <row r="30" spans="2:36" x14ac:dyDescent="0.3">
      <c r="B30" s="67"/>
      <c r="C30" s="4" t="s">
        <v>71</v>
      </c>
      <c r="D30" s="18">
        <v>51</v>
      </c>
      <c r="E30" s="1"/>
      <c r="F30" s="1"/>
      <c r="G30" s="1"/>
      <c r="H30" s="1"/>
      <c r="I30" s="1"/>
      <c r="J30" s="19">
        <f>(D30*D$59)+(E30*E$59)+(F30*F$59)+(G30*G$59)+(H30*H$59)+(I30*I$59)</f>
        <v>255</v>
      </c>
      <c r="K30" s="15">
        <f t="shared" ref="K30:K33" si="0">IF(D30&gt;=100, 250, IF(D30&gt;=50, 150, IF(D30&gt;=30, 50, "")))</f>
        <v>150</v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150</v>
      </c>
      <c r="T30" s="14">
        <f>R30+J30</f>
        <v>405</v>
      </c>
      <c r="V30" s="28">
        <v>2</v>
      </c>
      <c r="W30" s="29">
        <v>45766</v>
      </c>
      <c r="X30" s="45">
        <v>4760</v>
      </c>
      <c r="Y30" s="45">
        <v>-1360</v>
      </c>
      <c r="Z30" s="45">
        <v>-1910</v>
      </c>
      <c r="AA30" s="45">
        <v>-1490</v>
      </c>
    </row>
    <row r="31" spans="2:36" x14ac:dyDescent="0.3">
      <c r="B31" s="67"/>
      <c r="C31" s="4" t="s">
        <v>41</v>
      </c>
      <c r="D31" s="18"/>
      <c r="E31" s="1"/>
      <c r="F31" s="1"/>
      <c r="G31" s="1"/>
      <c r="H31" s="1"/>
      <c r="I31" s="1"/>
      <c r="J31" s="19">
        <f>(D31*D$59)+(E31*E$59)+(F31*F$59)+(G31*G$59)+(H31*H$59)+(I31*I$59)</f>
        <v>0</v>
      </c>
      <c r="K31" s="15" t="str">
        <f t="shared" si="0"/>
        <v/>
      </c>
      <c r="L31" s="20" t="str">
        <f t="shared" si="1"/>
        <v/>
      </c>
      <c r="M31" s="20" t="s">
        <v>258</v>
      </c>
      <c r="N31" s="20"/>
      <c r="O31" s="20"/>
      <c r="P31" s="1"/>
      <c r="Q31" s="1"/>
      <c r="R31" s="17">
        <f>SUM(K31:Q31)</f>
        <v>0</v>
      </c>
      <c r="T31" s="14">
        <f>R31+J31</f>
        <v>0</v>
      </c>
      <c r="V31" s="28">
        <v>3</v>
      </c>
      <c r="W31" s="29">
        <v>45766</v>
      </c>
      <c r="X31" s="45">
        <v>2335</v>
      </c>
      <c r="Y31" s="45">
        <v>-1150</v>
      </c>
      <c r="Z31" s="45">
        <v>-990</v>
      </c>
      <c r="AA31" s="45">
        <v>-195</v>
      </c>
    </row>
    <row r="32" spans="2:36" x14ac:dyDescent="0.3">
      <c r="B32" s="67"/>
      <c r="C32" s="4" t="s">
        <v>148</v>
      </c>
      <c r="D32" s="18"/>
      <c r="E32" s="1"/>
      <c r="F32" s="1"/>
      <c r="G32" s="1"/>
      <c r="H32" s="1"/>
      <c r="I32" s="1"/>
      <c r="J32" s="19">
        <f>(D32*D$59)+(E32*E$59)+(F32*F$59)+(G32*G$59)+(H32*H$59)+(I32*I$59)</f>
        <v>0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0</v>
      </c>
      <c r="V32" s="28">
        <v>4</v>
      </c>
      <c r="W32" s="44">
        <v>45767</v>
      </c>
      <c r="X32" s="45">
        <v>3155</v>
      </c>
      <c r="Y32" s="45">
        <v>-970</v>
      </c>
      <c r="Z32" s="45">
        <v>-930</v>
      </c>
      <c r="AA32" s="45">
        <v>-1255</v>
      </c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304</v>
      </c>
      <c r="D33" s="9"/>
      <c r="E33" s="10">
        <v>1</v>
      </c>
      <c r="F33" s="10"/>
      <c r="G33" s="10"/>
      <c r="H33" s="10"/>
      <c r="I33" s="10"/>
      <c r="J33" s="11">
        <f>(D33*D$59)+(E33*E$59)+(F33*F$59)+(G33*G$59)+(H33*H$59)+(I33*I$59)</f>
        <v>100</v>
      </c>
      <c r="K33" s="12" t="str">
        <f t="shared" si="0"/>
        <v/>
      </c>
      <c r="L33" s="12" t="str">
        <f t="shared" si="1"/>
        <v/>
      </c>
      <c r="M33" s="12" t="s">
        <v>258</v>
      </c>
      <c r="N33" s="12"/>
      <c r="O33" s="12"/>
      <c r="P33" s="10"/>
      <c r="Q33" s="10"/>
      <c r="R33" s="13">
        <f>SUM(K33:Q33)</f>
        <v>0</v>
      </c>
      <c r="T33" s="22">
        <f>(R33+J33)</f>
        <v>100</v>
      </c>
      <c r="V33" s="28">
        <v>5</v>
      </c>
      <c r="W33" s="29">
        <v>45767</v>
      </c>
      <c r="X33" s="28">
        <v>-900</v>
      </c>
      <c r="Y33" s="28">
        <v>-920</v>
      </c>
      <c r="Z33" s="28">
        <v>3495</v>
      </c>
      <c r="AA33" s="28">
        <v>-1675</v>
      </c>
      <c r="AC33" s="28" t="s">
        <v>211</v>
      </c>
      <c r="AD33" s="28">
        <f>T34</f>
        <v>1375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57">
        <f>SUM(T29:T33)</f>
        <v>1375</v>
      </c>
      <c r="V34" s="28">
        <v>6</v>
      </c>
      <c r="W34" s="29">
        <v>45768</v>
      </c>
      <c r="X34" s="28">
        <v>-500</v>
      </c>
      <c r="Y34" s="28">
        <v>-1125</v>
      </c>
      <c r="Z34" s="28">
        <v>-155</v>
      </c>
      <c r="AA34" s="28">
        <v>1780</v>
      </c>
      <c r="AC34" s="28" t="s">
        <v>96</v>
      </c>
      <c r="AD34" s="28">
        <f>T40</f>
        <v>550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56" t="s">
        <v>37</v>
      </c>
      <c r="D35" s="23">
        <v>45</v>
      </c>
      <c r="E35" s="6"/>
      <c r="F35" s="6"/>
      <c r="G35" s="6"/>
      <c r="H35" s="6"/>
      <c r="I35" s="6"/>
      <c r="J35" s="7">
        <f>(D35*D$59)+(E35*E$59)+(F35*F$59)+(G35*G$59)+(H35*H$59)+(I35*I$59)</f>
        <v>225</v>
      </c>
      <c r="K35" s="23">
        <f t="shared" ref="K35:K39" si="2">IF(D35&gt;=100, 250, IF(D35&gt;=50, 150, IF(D35&gt;=30, 50, "")))</f>
        <v>50</v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50</v>
      </c>
      <c r="T35" s="33">
        <f>(R35+J35)*2</f>
        <v>550</v>
      </c>
      <c r="V35" s="28">
        <v>7</v>
      </c>
      <c r="W35" s="29">
        <v>45769</v>
      </c>
      <c r="X35" s="28">
        <f>T34-T52</f>
        <v>-885</v>
      </c>
      <c r="Y35" s="28">
        <f>T40-T52</f>
        <v>-1710</v>
      </c>
      <c r="Z35" s="28">
        <f>T46-T52</f>
        <v>-1995</v>
      </c>
      <c r="AA35" s="28">
        <f>-(X35+Y35+Z35)</f>
        <v>4590</v>
      </c>
      <c r="AC35" s="28" t="s">
        <v>97</v>
      </c>
      <c r="AD35" s="28">
        <f>T46</f>
        <v>265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38</v>
      </c>
      <c r="D36" s="20">
        <v>0</v>
      </c>
      <c r="E36" s="1"/>
      <c r="F36" s="1"/>
      <c r="G36" s="1"/>
      <c r="H36" s="1"/>
      <c r="I36" s="1">
        <v>1</v>
      </c>
      <c r="J36" s="19">
        <f>(D36*D$59)+(E36*E$59)+(F36*F$59)+(G36*G$59)+(H36*H$59)+(I36*I$59)</f>
        <v>-50</v>
      </c>
      <c r="K36" s="15" t="str">
        <f t="shared" si="2"/>
        <v/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0</v>
      </c>
      <c r="T36" s="14">
        <f>R36+J36</f>
        <v>-50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2260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45</v>
      </c>
      <c r="D37" s="20"/>
      <c r="E37" s="1"/>
      <c r="F37" s="1"/>
      <c r="G37" s="1"/>
      <c r="H37" s="1">
        <v>1</v>
      </c>
      <c r="I37" s="1"/>
      <c r="J37" s="19">
        <f>(D37*D$59)+(E37*E$59)+(F37*F$59)+(G37*G$59)+(H37*H$59)+(I37*I$59)</f>
        <v>50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50</v>
      </c>
      <c r="V37" s="28"/>
      <c r="W37" s="29"/>
      <c r="X37" s="28"/>
      <c r="Y37" s="28"/>
      <c r="Z37" s="28"/>
      <c r="AA37" s="28"/>
      <c r="AF37" s="49" t="s">
        <v>284</v>
      </c>
      <c r="AG37" s="49">
        <f>X28</f>
        <v>7960</v>
      </c>
      <c r="AH37" s="49">
        <f>Y28</f>
        <v>-7565</v>
      </c>
      <c r="AI37" s="49">
        <f>Z28</f>
        <v>-2625</v>
      </c>
      <c r="AJ37" s="49">
        <f>AA28</f>
        <v>2230</v>
      </c>
    </row>
    <row r="38" spans="2:36" x14ac:dyDescent="0.3">
      <c r="B38" s="67"/>
      <c r="C38" s="19" t="s">
        <v>119</v>
      </c>
      <c r="D38" s="20"/>
      <c r="E38" s="1"/>
      <c r="F38" s="1"/>
      <c r="G38" s="1"/>
      <c r="H38" s="1"/>
      <c r="I38" s="1"/>
      <c r="J38" s="19">
        <f>(D38*D$59)+(E38*E$59)+(F38*F$59)+(G38*G$59)+(H38*H$59)+(I38*I$59)</f>
        <v>0</v>
      </c>
      <c r="K38" s="15" t="str">
        <f t="shared" si="2"/>
        <v/>
      </c>
      <c r="L38" s="20" t="str">
        <f t="shared" si="3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0</v>
      </c>
      <c r="V38" s="28"/>
      <c r="W38" s="29"/>
      <c r="X38" s="28"/>
      <c r="Y38" s="28"/>
      <c r="Z38" s="28"/>
      <c r="AA38" s="28"/>
      <c r="AF38" s="49" t="s">
        <v>0</v>
      </c>
      <c r="AG38" s="49">
        <f>SUM(AG33:AG37)</f>
        <v>13675</v>
      </c>
      <c r="AH38" s="49">
        <f t="shared" ref="AH38:AJ38" si="4">SUM(AH33:AH37)</f>
        <v>-2490</v>
      </c>
      <c r="AI38" s="49">
        <f t="shared" si="4"/>
        <v>3515</v>
      </c>
      <c r="AJ38" s="49">
        <f t="shared" si="4"/>
        <v>-14700</v>
      </c>
    </row>
    <row r="39" spans="2:36" ht="15" thickBot="1" x14ac:dyDescent="0.35">
      <c r="B39" s="68"/>
      <c r="C39" s="11" t="s">
        <v>117</v>
      </c>
      <c r="D39" s="12"/>
      <c r="E39" s="10"/>
      <c r="F39" s="10"/>
      <c r="G39" s="10"/>
      <c r="H39" s="10"/>
      <c r="I39" s="10"/>
      <c r="J39" s="11">
        <f>(D39*D$59)+(E39*E$59)+(F39*F$59)+(G39*G$59)+(H39*H$59)+(I39*I$59)</f>
        <v>0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0</v>
      </c>
      <c r="V39" s="28"/>
      <c r="W39" s="29"/>
      <c r="X39" s="28"/>
      <c r="Y39" s="28"/>
      <c r="Z39" s="28"/>
      <c r="AA39" s="28"/>
    </row>
    <row r="40" spans="2:36" ht="15" thickBot="1" x14ac:dyDescent="0.35">
      <c r="K40" s="2" t="s">
        <v>258</v>
      </c>
      <c r="L40" s="2" t="s">
        <v>258</v>
      </c>
      <c r="T40" s="57">
        <f>SUM(T35:T39)</f>
        <v>550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56" t="s">
        <v>53</v>
      </c>
      <c r="D41" s="23">
        <v>9</v>
      </c>
      <c r="E41" s="6"/>
      <c r="F41" s="6"/>
      <c r="G41" s="6"/>
      <c r="H41" s="6"/>
      <c r="I41" s="6"/>
      <c r="J41" s="7">
        <f>(D41*D$59)+(E41*E$59)+(F41*F$59)+(G41*G$59)+(H41*H$59)+(I41*I$59)</f>
        <v>45</v>
      </c>
      <c r="K41" s="23" t="str">
        <f t="shared" ref="K41:K45" si="5">IF(D41&gt;=100, 250, IF(D41&gt;=50, 150, IF(D41&gt;=30, 50, "")))</f>
        <v/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0</v>
      </c>
      <c r="T41" s="33">
        <f>(R41+J41)*2</f>
        <v>90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281</v>
      </c>
      <c r="D42" s="20">
        <v>15</v>
      </c>
      <c r="E42" s="1"/>
      <c r="F42" s="1"/>
      <c r="G42" s="1"/>
      <c r="H42" s="1"/>
      <c r="I42" s="1"/>
      <c r="J42" s="19">
        <f>(D42*D$59)+(E42*E$59)+(F42*F$59)+(G42*G$59)+(H42*H$59)+(I42*I$59)</f>
        <v>75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75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47</v>
      </c>
      <c r="D43" s="20"/>
      <c r="E43" s="1">
        <v>1</v>
      </c>
      <c r="F43" s="1"/>
      <c r="G43" s="1"/>
      <c r="H43" s="1"/>
      <c r="I43" s="1"/>
      <c r="J43" s="19">
        <f>(D43*D$59)+(E43*E$59)+(F43*F$59)+(G43*G$59)+(H43*H$59)+(I43*I$59)</f>
        <v>100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100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81</v>
      </c>
      <c r="D44" s="20"/>
      <c r="E44" s="1"/>
      <c r="F44" s="1"/>
      <c r="G44" s="1"/>
      <c r="H44" s="1"/>
      <c r="I44" s="1"/>
      <c r="J44" s="19">
        <f>(D44*D$59)+(E44*E$59)+(F44*F$59)+(G44*G$59)+(H44*H$59)+(I44*I$59)</f>
        <v>0</v>
      </c>
      <c r="K44" s="15" t="str">
        <f t="shared" si="5"/>
        <v/>
      </c>
      <c r="L44" s="20" t="str">
        <f t="shared" si="6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54</v>
      </c>
      <c r="D45" s="12"/>
      <c r="E45" s="10"/>
      <c r="F45" s="10"/>
      <c r="G45" s="10"/>
      <c r="H45" s="10"/>
      <c r="I45" s="10"/>
      <c r="J45" s="11">
        <f>(D45*D$59)+(E45*E$59)+(F45*F$59)+(G45*G$59)+(H45*H$59)+(I45*I$59)</f>
        <v>0</v>
      </c>
      <c r="K45" s="12" t="str">
        <f t="shared" si="5"/>
        <v/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0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57">
        <f>SUM(T41:T45)</f>
        <v>265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56" t="s">
        <v>303</v>
      </c>
      <c r="D47" s="23">
        <v>52</v>
      </c>
      <c r="E47" s="6">
        <v>2</v>
      </c>
      <c r="F47" s="6"/>
      <c r="G47" s="6"/>
      <c r="H47" s="6"/>
      <c r="I47" s="6"/>
      <c r="J47" s="7">
        <f>(D47*D$59)+(E47*E$59)+(F47*F$59)+(G47*G$59)+(H47*H$59)+(I47*I$59)</f>
        <v>460</v>
      </c>
      <c r="K47" s="23">
        <f t="shared" ref="K47:K51" si="7">IF(D47&gt;=100, 250, IF(D47&gt;=50, 150, IF(D47&gt;=30, 50, "")))</f>
        <v>150</v>
      </c>
      <c r="L47" s="23">
        <f t="shared" ref="L47:L51" si="8">IF(E47=5, 200, IF(E47=3, 150, IF(E47=2, 50, "")))</f>
        <v>50</v>
      </c>
      <c r="M47" s="23"/>
      <c r="N47" s="23"/>
      <c r="O47" s="23"/>
      <c r="P47" s="6"/>
      <c r="Q47" s="6"/>
      <c r="R47" s="24">
        <f>SUM(K47:Q47)</f>
        <v>200</v>
      </c>
      <c r="T47" s="33">
        <f>(R47+J47)*2</f>
        <v>1320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44</v>
      </c>
      <c r="D48" s="20">
        <v>34</v>
      </c>
      <c r="E48" s="1"/>
      <c r="F48" s="1"/>
      <c r="G48" s="1"/>
      <c r="H48" s="1"/>
      <c r="I48" s="1"/>
      <c r="J48" s="19">
        <f>(D48*D$59)+(E48*E$59)+(F48*F$59)+(G48*G$59)+(H48*H$59)+(I48*I$59)</f>
        <v>170</v>
      </c>
      <c r="K48" s="15">
        <f t="shared" si="7"/>
        <v>50</v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50</v>
      </c>
      <c r="T48" s="14">
        <f>R48+J48</f>
        <v>220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212</v>
      </c>
      <c r="D49" s="20"/>
      <c r="E49" s="1"/>
      <c r="F49" s="1"/>
      <c r="G49" s="1"/>
      <c r="H49" s="1"/>
      <c r="I49" s="1"/>
      <c r="J49" s="19">
        <f>(D49*D$59)+(E49*E$59)+(F49*F$59)+(G49*G$59)+(H49*H$59)+(I49*I$59)</f>
        <v>0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62</v>
      </c>
      <c r="D50" s="20"/>
      <c r="E50" s="1">
        <v>4</v>
      </c>
      <c r="F50" s="1"/>
      <c r="G50" s="1"/>
      <c r="H50" s="1">
        <v>1</v>
      </c>
      <c r="I50" s="1"/>
      <c r="J50" s="19">
        <f>(D50*D$59)+(E50*E$59)+(F50*F$59)+(G50*G$59)+(H50*H$59)+(I50*I$59)</f>
        <v>450</v>
      </c>
      <c r="K50" s="15" t="str">
        <f t="shared" si="7"/>
        <v/>
      </c>
      <c r="L50" s="20">
        <v>150</v>
      </c>
      <c r="M50" s="20" t="s">
        <v>258</v>
      </c>
      <c r="N50" s="20"/>
      <c r="O50" s="20"/>
      <c r="P50" s="1"/>
      <c r="Q50" s="1"/>
      <c r="R50" s="17">
        <f>SUM(K50:Q50)</f>
        <v>150</v>
      </c>
      <c r="T50" s="14">
        <f>R50+J50</f>
        <v>600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24</v>
      </c>
      <c r="D51" s="12">
        <v>14</v>
      </c>
      <c r="E51" s="10"/>
      <c r="F51" s="10"/>
      <c r="G51" s="10"/>
      <c r="H51" s="10">
        <v>1</v>
      </c>
      <c r="I51" s="10"/>
      <c r="J51" s="11">
        <f>(D51*D$59)+(E51*E$59)+(F51*F$59)+(G51*G$59)+(H51*H$59)+(I51*I$59)</f>
        <v>120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120</v>
      </c>
      <c r="V51" s="28"/>
      <c r="W51" s="29"/>
      <c r="X51" s="28"/>
      <c r="Y51" s="28"/>
      <c r="Z51" s="28"/>
      <c r="AA51" s="28"/>
    </row>
    <row r="52" spans="2:30" ht="15" thickBot="1" x14ac:dyDescent="0.35">
      <c r="T52" s="57">
        <f>SUM(T47:T51)</f>
        <v>2260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9345</v>
      </c>
      <c r="Y60" s="42">
        <f>SUM(Y61:Y68)</f>
        <v>-4730</v>
      </c>
      <c r="Z60" s="42">
        <f>SUM(Z61:Z68)</f>
        <v>-475</v>
      </c>
      <c r="AA60" s="42">
        <f>SUM(AA61:AA68)</f>
        <v>-4140</v>
      </c>
    </row>
    <row r="61" spans="2:30" x14ac:dyDescent="0.3">
      <c r="B61" s="66" t="s">
        <v>211</v>
      </c>
      <c r="C61" s="38" t="s">
        <v>111</v>
      </c>
      <c r="D61" s="5">
        <v>24</v>
      </c>
      <c r="E61" s="6"/>
      <c r="F61" s="6"/>
      <c r="G61" s="6">
        <v>1</v>
      </c>
      <c r="H61" s="6">
        <v>1</v>
      </c>
      <c r="I61" s="6"/>
      <c r="J61" s="7">
        <f>(D61*D$59)+(E61*E$59)+(F61*F$59)+(G61*G$59)+(H61*H$59)+(I61*I$59)</f>
        <v>220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440</v>
      </c>
      <c r="V61" s="28">
        <v>1</v>
      </c>
      <c r="W61" s="29">
        <v>45764</v>
      </c>
      <c r="X61" s="28">
        <v>-5</v>
      </c>
      <c r="Y61" s="28">
        <v>-330</v>
      </c>
      <c r="Z61" s="28">
        <v>-140</v>
      </c>
      <c r="AA61" s="28">
        <v>475</v>
      </c>
    </row>
    <row r="62" spans="2:30" x14ac:dyDescent="0.3">
      <c r="B62" s="67"/>
      <c r="C62" s="4" t="s">
        <v>70</v>
      </c>
      <c r="D62" s="18">
        <v>68</v>
      </c>
      <c r="E62" s="1"/>
      <c r="F62" s="1"/>
      <c r="G62" s="1"/>
      <c r="H62" s="1"/>
      <c r="I62" s="1"/>
      <c r="J62" s="19">
        <f>(D62*D$59)+(E62*E$59)+(F62*F$59)+(G62*G$59)+(H62*H$59)+(I62*I$59)</f>
        <v>340</v>
      </c>
      <c r="K62" s="15">
        <f t="shared" ref="K62:K65" si="9">IF(D62&gt;=100, 250, IF(D62&gt;=50, 150, IF(D62&gt;=30, 50, "")))</f>
        <v>150</v>
      </c>
      <c r="L62" s="20" t="str">
        <f t="shared" ref="L62:L65" si="10">IF(E62=5, 200, IF(E62=3, 150, IF(E62=2, 50, "")))</f>
        <v/>
      </c>
      <c r="M62" s="20" t="s">
        <v>258</v>
      </c>
      <c r="N62" s="20"/>
      <c r="O62" s="20">
        <v>150</v>
      </c>
      <c r="P62" s="1"/>
      <c r="Q62" s="1"/>
      <c r="R62" s="17">
        <f>SUM(K62:Q62)</f>
        <v>300</v>
      </c>
      <c r="T62" s="14">
        <f>R62+J62</f>
        <v>640</v>
      </c>
      <c r="V62" s="28">
        <v>2</v>
      </c>
      <c r="W62" s="29">
        <v>45766</v>
      </c>
      <c r="X62" s="45">
        <v>4760</v>
      </c>
      <c r="Y62" s="45">
        <v>-1360</v>
      </c>
      <c r="Z62" s="45">
        <v>-1910</v>
      </c>
      <c r="AA62" s="45">
        <v>-1490</v>
      </c>
    </row>
    <row r="63" spans="2:30" x14ac:dyDescent="0.3">
      <c r="B63" s="67"/>
      <c r="C63" s="4" t="s">
        <v>51</v>
      </c>
      <c r="D63" s="18"/>
      <c r="E63" s="1"/>
      <c r="F63" s="1"/>
      <c r="G63" s="1"/>
      <c r="H63" s="1"/>
      <c r="I63" s="1"/>
      <c r="J63" s="19">
        <f>(D63*D$59)+(E63*E$59)+(F63*F$59)+(G63*G$59)+(H63*H$59)+(I63*I$59)</f>
        <v>0</v>
      </c>
      <c r="K63" s="15" t="str">
        <f t="shared" si="9"/>
        <v/>
      </c>
      <c r="L63" s="20" t="str">
        <f t="shared" si="10"/>
        <v/>
      </c>
      <c r="M63" s="20" t="s">
        <v>258</v>
      </c>
      <c r="N63" s="20"/>
      <c r="O63" s="20"/>
      <c r="P63" s="1"/>
      <c r="Q63" s="1"/>
      <c r="R63" s="17">
        <f>SUM(K63:Q63)</f>
        <v>0</v>
      </c>
      <c r="T63" s="14">
        <f>R63+J63</f>
        <v>0</v>
      </c>
      <c r="V63" s="28">
        <v>3</v>
      </c>
      <c r="W63" s="29">
        <v>45766</v>
      </c>
      <c r="X63" s="45">
        <v>2335</v>
      </c>
      <c r="Y63" s="45">
        <v>-1150</v>
      </c>
      <c r="Z63" s="45">
        <v>-990</v>
      </c>
      <c r="AA63" s="45">
        <v>-195</v>
      </c>
      <c r="AC63" s="50" t="s">
        <v>5</v>
      </c>
      <c r="AD63" s="50" t="s">
        <v>235</v>
      </c>
    </row>
    <row r="64" spans="2:30" x14ac:dyDescent="0.3">
      <c r="B64" s="67"/>
      <c r="C64" s="4" t="s">
        <v>26</v>
      </c>
      <c r="D64" s="18"/>
      <c r="E64" s="1"/>
      <c r="F64" s="1"/>
      <c r="G64" s="1"/>
      <c r="H64" s="1"/>
      <c r="I64" s="1"/>
      <c r="J64" s="19">
        <f>(D64*D$59)+(E64*E$59)+(F64*F$59)+(G64*G$59)+(H64*H$59)+(I64*I$59)</f>
        <v>0</v>
      </c>
      <c r="K64" s="15" t="str">
        <f t="shared" si="9"/>
        <v/>
      </c>
      <c r="L64" s="20" t="str">
        <f t="shared" si="10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44">
        <v>45767</v>
      </c>
      <c r="X64" s="45">
        <v>3155</v>
      </c>
      <c r="Y64" s="45">
        <v>-970</v>
      </c>
      <c r="Z64" s="45">
        <v>-930</v>
      </c>
      <c r="AA64" s="45">
        <v>-1255</v>
      </c>
      <c r="AC64" s="28" t="s">
        <v>211</v>
      </c>
      <c r="AD64" s="28">
        <f>T66</f>
        <v>1080</v>
      </c>
    </row>
    <row r="65" spans="2:30" ht="15" thickBot="1" x14ac:dyDescent="0.35">
      <c r="B65" s="68"/>
      <c r="C65" s="21" t="s">
        <v>181</v>
      </c>
      <c r="D65" s="9"/>
      <c r="E65" s="10"/>
      <c r="F65" s="10"/>
      <c r="G65" s="10"/>
      <c r="H65" s="10"/>
      <c r="I65" s="10"/>
      <c r="J65" s="11">
        <f>(D65*D$59)+(E65*E$59)+(F65*F$59)+(G65*G$59)+(H65*H$59)+(I65*I$59)</f>
        <v>0</v>
      </c>
      <c r="K65" s="12" t="str">
        <f t="shared" si="9"/>
        <v/>
      </c>
      <c r="L65" s="12" t="str">
        <f t="shared" si="10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0</v>
      </c>
      <c r="V65" s="28">
        <v>5</v>
      </c>
      <c r="W65" s="29">
        <v>45767</v>
      </c>
      <c r="X65" s="28">
        <f>T66-T78</f>
        <v>-900</v>
      </c>
      <c r="Y65" s="28">
        <f>T72-T78</f>
        <v>-920</v>
      </c>
      <c r="Z65" s="28">
        <f>-(X65+Y65+AA65)</f>
        <v>3495</v>
      </c>
      <c r="AA65" s="28">
        <f>T84-T78</f>
        <v>-1675</v>
      </c>
      <c r="AC65" s="28" t="s">
        <v>96</v>
      </c>
      <c r="AD65" s="28">
        <f>T72</f>
        <v>1060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1080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1980</v>
      </c>
    </row>
    <row r="67" spans="2:30" x14ac:dyDescent="0.3">
      <c r="B67" s="66" t="s">
        <v>96</v>
      </c>
      <c r="C67" s="39" t="s">
        <v>75</v>
      </c>
      <c r="D67" s="23"/>
      <c r="E67" s="6"/>
      <c r="F67" s="6"/>
      <c r="G67" s="6"/>
      <c r="H67" s="6">
        <v>1</v>
      </c>
      <c r="I67" s="6"/>
      <c r="J67" s="7">
        <f>(D67*D$59)+(E67*E$59)+(F67*F$59)+(G67*G$59)+(H67*H$59)+(I67*I$59)</f>
        <v>50</v>
      </c>
      <c r="K67" s="23" t="str">
        <f t="shared" ref="K67:K71" si="11">IF(D67&gt;=100, 250, IF(D67&gt;=50, 150, IF(D67&gt;=30, 50, "")))</f>
        <v/>
      </c>
      <c r="L67" s="23" t="str">
        <f t="shared" ref="L67:L71" si="12">IF(E67=5, 200, IF(E67=3, 150, IF(E67=2, 50, "")))</f>
        <v/>
      </c>
      <c r="M67" s="23"/>
      <c r="N67" s="23"/>
      <c r="O67" s="23"/>
      <c r="P67" s="6"/>
      <c r="Q67" s="6"/>
      <c r="R67" s="24">
        <f>SUM(K67:Q67)</f>
        <v>0</v>
      </c>
      <c r="T67" s="33">
        <f>(R67+J67)*2</f>
        <v>100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305</v>
      </c>
    </row>
    <row r="68" spans="2:30" x14ac:dyDescent="0.3">
      <c r="B68" s="67"/>
      <c r="C68" s="19" t="s">
        <v>240</v>
      </c>
      <c r="D68" s="20"/>
      <c r="E68" s="1">
        <v>2</v>
      </c>
      <c r="F68" s="1"/>
      <c r="G68" s="1"/>
      <c r="H68" s="1"/>
      <c r="I68" s="1"/>
      <c r="J68" s="19">
        <f>(D68*D$59)+(E68*E$59)+(F68*F$59)+(G68*G$59)+(H68*H$59)+(I68*I$59)</f>
        <v>200</v>
      </c>
      <c r="K68" s="15" t="str">
        <f t="shared" si="11"/>
        <v/>
      </c>
      <c r="L68" s="20">
        <f t="shared" si="12"/>
        <v>50</v>
      </c>
      <c r="M68" s="20"/>
      <c r="N68" s="20"/>
      <c r="O68" s="20"/>
      <c r="P68" s="1"/>
      <c r="Q68" s="1"/>
      <c r="R68" s="17">
        <f>SUM(K68:Q68)</f>
        <v>50</v>
      </c>
      <c r="T68" s="14">
        <f>R68+J68</f>
        <v>250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59</v>
      </c>
      <c r="D69" s="20">
        <v>53</v>
      </c>
      <c r="E69" s="1">
        <v>1</v>
      </c>
      <c r="F69" s="1"/>
      <c r="G69" s="1"/>
      <c r="H69" s="1"/>
      <c r="I69" s="1"/>
      <c r="J69" s="19">
        <f>(D69*D$59)+(E69*E$59)+(F69*F$59)+(G69*G$59)+(H69*H$59)+(I69*I$59)</f>
        <v>365</v>
      </c>
      <c r="K69" s="15">
        <f t="shared" si="11"/>
        <v>150</v>
      </c>
      <c r="L69" s="20" t="str">
        <f t="shared" si="12"/>
        <v/>
      </c>
      <c r="M69" s="20"/>
      <c r="N69" s="20"/>
      <c r="O69" s="20"/>
      <c r="P69" s="1"/>
      <c r="Q69" s="1"/>
      <c r="R69" s="17">
        <f>SUM(K69:Q69)</f>
        <v>150</v>
      </c>
      <c r="T69" s="14">
        <f>R69+J69</f>
        <v>515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276</v>
      </c>
      <c r="D70" s="20">
        <v>19</v>
      </c>
      <c r="E70" s="1"/>
      <c r="F70" s="1"/>
      <c r="G70" s="1"/>
      <c r="H70" s="1"/>
      <c r="I70" s="1"/>
      <c r="J70" s="19">
        <f>(D70*D$59)+(E70*E$59)+(F70*F$59)+(G70*G$59)+(H70*H$59)+(I70*I$59)</f>
        <v>95</v>
      </c>
      <c r="K70" s="15" t="str">
        <f t="shared" si="11"/>
        <v/>
      </c>
      <c r="L70" s="20" t="str">
        <f t="shared" si="12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95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214</v>
      </c>
      <c r="D71" s="12"/>
      <c r="E71" s="10">
        <v>1</v>
      </c>
      <c r="F71" s="10"/>
      <c r="G71" s="10"/>
      <c r="H71" s="10"/>
      <c r="I71" s="10"/>
      <c r="J71" s="11">
        <f>(D71*D$59)+(E71*E$59)+(F71*F$59)+(G71*G$59)+(H71*H$59)+(I71*I$59)</f>
        <v>100</v>
      </c>
      <c r="K71" s="12" t="str">
        <f t="shared" si="11"/>
        <v/>
      </c>
      <c r="L71" s="12" t="str">
        <f t="shared" si="12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100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1060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57</v>
      </c>
      <c r="D73" s="23">
        <v>76</v>
      </c>
      <c r="E73" s="6"/>
      <c r="F73" s="6"/>
      <c r="G73" s="6"/>
      <c r="H73" s="6"/>
      <c r="I73" s="6"/>
      <c r="J73" s="7">
        <f>(D73*D$59)+(E73*E$59)+(F73*F$59)+(G73*G$59)+(H73*H$59)+(I73*I$59)</f>
        <v>380</v>
      </c>
      <c r="K73" s="23">
        <f t="shared" ref="K73:K77" si="13">IF(D73&gt;=100, 250, IF(D73&gt;=50, 150, IF(D73&gt;=30, 50, "")))</f>
        <v>150</v>
      </c>
      <c r="L73" s="23" t="str">
        <f t="shared" ref="L73:L77" si="14">IF(E73=5, 200, IF(E73=3, 150, IF(E73=2, 50, "")))</f>
        <v/>
      </c>
      <c r="M73" s="23"/>
      <c r="N73" s="23"/>
      <c r="O73" s="23">
        <v>150</v>
      </c>
      <c r="P73" s="6"/>
      <c r="Q73" s="6"/>
      <c r="R73" s="24">
        <f>SUM(K73:Q73)</f>
        <v>300</v>
      </c>
      <c r="T73" s="33">
        <f>(R73+J73)*2</f>
        <v>1360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66</v>
      </c>
      <c r="D74" s="20">
        <v>50</v>
      </c>
      <c r="E74" s="1"/>
      <c r="F74" s="1"/>
      <c r="G74" s="1"/>
      <c r="H74" s="1"/>
      <c r="I74" s="1"/>
      <c r="J74" s="19">
        <f>(D74*D$59)+(E74*E$59)+(F74*F$59)+(G74*G$59)+(H74*H$59)+(I74*I$59)</f>
        <v>250</v>
      </c>
      <c r="K74" s="15">
        <f t="shared" si="13"/>
        <v>150</v>
      </c>
      <c r="L74" s="20" t="str">
        <f t="shared" si="14"/>
        <v/>
      </c>
      <c r="M74" s="20"/>
      <c r="N74" s="20"/>
      <c r="O74" s="20"/>
      <c r="P74" s="1"/>
      <c r="Q74" s="1"/>
      <c r="R74" s="17">
        <f>SUM(K74:Q74)</f>
        <v>150</v>
      </c>
      <c r="T74" s="14">
        <f>R74+J74</f>
        <v>400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55</v>
      </c>
      <c r="D75" s="20"/>
      <c r="E75" s="1"/>
      <c r="F75" s="1"/>
      <c r="G75" s="1"/>
      <c r="H75" s="1">
        <v>1</v>
      </c>
      <c r="I75" s="1"/>
      <c r="J75" s="19">
        <f>(D75*D$59)+(E75*E$59)+(F75*F$59)+(G75*G$59)+(H75*H$59)+(I75*I$59)</f>
        <v>50</v>
      </c>
      <c r="K75" s="15" t="str">
        <f t="shared" si="13"/>
        <v/>
      </c>
      <c r="L75" s="20" t="str">
        <f t="shared" si="14"/>
        <v/>
      </c>
      <c r="M75" s="20"/>
      <c r="N75" s="20"/>
      <c r="O75" s="20"/>
      <c r="P75" s="1"/>
      <c r="Q75" s="1"/>
      <c r="R75" s="17">
        <f>SUM(K75:Q75)</f>
        <v>0</v>
      </c>
      <c r="T75" s="14">
        <f>R75+J75</f>
        <v>50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295</v>
      </c>
      <c r="D76" s="20">
        <v>4</v>
      </c>
      <c r="E76" s="1"/>
      <c r="F76" s="1"/>
      <c r="G76" s="1"/>
      <c r="H76" s="1"/>
      <c r="I76" s="1"/>
      <c r="J76" s="19">
        <f>(D76*D$59)+(E76*E$59)+(F76*F$59)+(G76*G$59)+(H76*H$59)+(I76*I$59)</f>
        <v>20</v>
      </c>
      <c r="K76" s="15" t="str">
        <f t="shared" si="13"/>
        <v/>
      </c>
      <c r="L76" s="20" t="str">
        <f t="shared" si="14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20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88</v>
      </c>
      <c r="D77" s="12"/>
      <c r="E77" s="10">
        <v>1</v>
      </c>
      <c r="F77" s="10"/>
      <c r="G77" s="10"/>
      <c r="H77" s="10">
        <v>1</v>
      </c>
      <c r="I77" s="10"/>
      <c r="J77" s="11">
        <f>(D77*D$59)+(E77*E$59)+(F77*F$59)+(G77*G$59)+(H77*H$59)+(I77*I$59)</f>
        <v>150</v>
      </c>
      <c r="K77" s="12" t="str">
        <f t="shared" si="13"/>
        <v/>
      </c>
      <c r="L77" s="12" t="str">
        <f t="shared" si="14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150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1980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166</v>
      </c>
      <c r="D79" s="23"/>
      <c r="E79" s="6"/>
      <c r="F79" s="6"/>
      <c r="G79" s="6"/>
      <c r="H79" s="6"/>
      <c r="I79" s="6"/>
      <c r="J79" s="7">
        <f>(D79*D$59)+(E79*E$59)+(F79*F$59)+(G79*G$59)+(H79*H$59)+(I79*I$59)</f>
        <v>0</v>
      </c>
      <c r="K79" s="23" t="str">
        <f t="shared" ref="K79:K83" si="15">IF(D79&gt;=100, 250, IF(D79&gt;=50, 150, IF(D79&gt;=30, 50, "")))</f>
        <v/>
      </c>
      <c r="L79" s="23" t="str">
        <f t="shared" ref="L79:L83" si="16">IF(E79=5, 200, IF(E79=3, 150, IF(E79=2, 50, "")))</f>
        <v/>
      </c>
      <c r="M79" s="23"/>
      <c r="N79" s="23"/>
      <c r="O79" s="23"/>
      <c r="P79" s="6"/>
      <c r="Q79" s="6"/>
      <c r="R79" s="24">
        <f>SUM(K79:Q79)</f>
        <v>0</v>
      </c>
      <c r="T79" s="33">
        <f>(R79+J79)*2</f>
        <v>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36</v>
      </c>
      <c r="D80" s="20">
        <v>5</v>
      </c>
      <c r="E80" s="1"/>
      <c r="F80" s="1"/>
      <c r="G80" s="1"/>
      <c r="H80" s="1"/>
      <c r="I80" s="1"/>
      <c r="J80" s="19">
        <f>(D80*D$59)+(E80*E$59)+(F80*F$59)+(G80*G$59)+(H80*H$59)+(I80*I$59)</f>
        <v>25</v>
      </c>
      <c r="K80" s="15" t="str">
        <f t="shared" si="15"/>
        <v/>
      </c>
      <c r="L80" s="20" t="str">
        <f t="shared" si="16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25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77</v>
      </c>
      <c r="D81" s="20"/>
      <c r="E81" s="1"/>
      <c r="F81" s="1"/>
      <c r="G81" s="1"/>
      <c r="H81" s="1"/>
      <c r="I81" s="1"/>
      <c r="J81" s="19">
        <f>(D81*D$59)+(E81*E$59)+(F81*F$59)+(G81*G$59)+(H81*H$59)+(I81*I$59)</f>
        <v>0</v>
      </c>
      <c r="K81" s="15" t="str">
        <f t="shared" si="15"/>
        <v/>
      </c>
      <c r="L81" s="20" t="str">
        <f t="shared" si="16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296</v>
      </c>
      <c r="D82" s="20">
        <v>32</v>
      </c>
      <c r="E82" s="1"/>
      <c r="F82" s="1"/>
      <c r="G82" s="1"/>
      <c r="H82" s="1">
        <v>1</v>
      </c>
      <c r="I82" s="1"/>
      <c r="J82" s="19">
        <f>(D82*D$59)+(E82*E$59)+(F82*F$59)+(G82*G$59)+(H82*H$59)+(I82*I$59)</f>
        <v>210</v>
      </c>
      <c r="K82" s="15">
        <f t="shared" si="15"/>
        <v>50</v>
      </c>
      <c r="L82" s="20" t="str">
        <f t="shared" si="16"/>
        <v/>
      </c>
      <c r="M82" s="20" t="s">
        <v>258</v>
      </c>
      <c r="N82" s="20"/>
      <c r="O82" s="20"/>
      <c r="P82" s="1"/>
      <c r="Q82" s="1"/>
      <c r="R82" s="17">
        <f>SUM(K82:Q82)</f>
        <v>50</v>
      </c>
      <c r="T82" s="14">
        <f>R82+J82</f>
        <v>260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184</v>
      </c>
      <c r="D83" s="12">
        <v>4</v>
      </c>
      <c r="E83" s="10"/>
      <c r="F83" s="10"/>
      <c r="G83" s="10"/>
      <c r="H83" s="10"/>
      <c r="I83" s="10"/>
      <c r="J83" s="11">
        <f>(D83*D$59)+(E83*E$59)+(F83*F$59)+(G83*G$59)+(H83*H$59)+(I83*I$59)</f>
        <v>20</v>
      </c>
      <c r="K83" s="12" t="str">
        <f t="shared" si="15"/>
        <v/>
      </c>
      <c r="L83" s="12" t="str">
        <f t="shared" si="16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20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AJ84"/>
  <sheetViews>
    <sheetView zoomScale="90" zoomScaleNormal="90" workbookViewId="0">
      <selection activeCell="V27" sqref="V27:AA36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7915</v>
      </c>
      <c r="Y28" s="42">
        <f>SUM(Y29:Y36)</f>
        <v>-8325</v>
      </c>
      <c r="Z28" s="42">
        <f>SUM(Z29:Z36)</f>
        <v>-2815</v>
      </c>
      <c r="AA28" s="42">
        <f>SUM(AA29:AA36)</f>
        <v>3225</v>
      </c>
    </row>
    <row r="29" spans="2:36" x14ac:dyDescent="0.3">
      <c r="B29" s="66" t="s">
        <v>211</v>
      </c>
      <c r="C29" s="55" t="s">
        <v>147</v>
      </c>
      <c r="D29" s="5">
        <v>8</v>
      </c>
      <c r="E29" s="6"/>
      <c r="F29" s="6"/>
      <c r="G29" s="6"/>
      <c r="H29" s="6">
        <v>1</v>
      </c>
      <c r="I29" s="6"/>
      <c r="J29" s="7">
        <f>(D29*D$59)+(E29*E$59)+(F29*F$59)+(G29*G$59)+(H29*H$59)+(I29*I$59)</f>
        <v>90</v>
      </c>
      <c r="K29" s="15" t="str">
        <f>IF(D29&gt;=100, 250, IF(D29&gt;=50, 150, IF(D29&gt;=30, 50, "")))</f>
        <v/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0</v>
      </c>
      <c r="T29" s="14">
        <f>(R29+J29)*2</f>
        <v>180</v>
      </c>
      <c r="V29" s="28">
        <v>1</v>
      </c>
      <c r="W29" s="29">
        <v>45764</v>
      </c>
      <c r="X29" s="28">
        <v>-5</v>
      </c>
      <c r="Y29" s="28">
        <v>-330</v>
      </c>
      <c r="Z29" s="28">
        <v>-140</v>
      </c>
      <c r="AA29" s="28">
        <v>475</v>
      </c>
    </row>
    <row r="30" spans="2:36" x14ac:dyDescent="0.3">
      <c r="B30" s="67"/>
      <c r="C30" s="4" t="s">
        <v>57</v>
      </c>
      <c r="D30" s="18">
        <v>70</v>
      </c>
      <c r="E30" s="1"/>
      <c r="F30" s="1"/>
      <c r="G30" s="1"/>
      <c r="H30" s="1"/>
      <c r="I30" s="1"/>
      <c r="J30" s="19">
        <f>(D30*D$59)+(E30*E$59)+(F30*F$59)+(G30*G$59)+(H30*H$59)+(I30*I$59)</f>
        <v>350</v>
      </c>
      <c r="K30" s="15">
        <f t="shared" ref="K30:K33" si="0">IF(D30&gt;=100, 250, IF(D30&gt;=50, 150, IF(D30&gt;=30, 50, "")))</f>
        <v>150</v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150</v>
      </c>
      <c r="T30" s="14">
        <f>R30+J30</f>
        <v>500</v>
      </c>
      <c r="V30" s="28">
        <v>2</v>
      </c>
      <c r="W30" s="29">
        <v>45766</v>
      </c>
      <c r="X30" s="45">
        <v>4760</v>
      </c>
      <c r="Y30" s="45">
        <v>-1360</v>
      </c>
      <c r="Z30" s="45">
        <v>-1910</v>
      </c>
      <c r="AA30" s="45">
        <v>-1490</v>
      </c>
    </row>
    <row r="31" spans="2:36" x14ac:dyDescent="0.3">
      <c r="B31" s="67"/>
      <c r="C31" s="4" t="s">
        <v>166</v>
      </c>
      <c r="D31" s="18"/>
      <c r="E31" s="1">
        <v>1</v>
      </c>
      <c r="F31" s="1"/>
      <c r="G31" s="1"/>
      <c r="H31" s="1"/>
      <c r="I31" s="1"/>
      <c r="J31" s="19">
        <f>(D31*D$59)+(E31*E$59)+(F31*F$59)+(G31*G$59)+(H31*H$59)+(I31*I$59)</f>
        <v>100</v>
      </c>
      <c r="K31" s="15" t="str">
        <f t="shared" si="0"/>
        <v/>
      </c>
      <c r="L31" s="20" t="str">
        <f t="shared" si="1"/>
        <v/>
      </c>
      <c r="M31" s="20" t="s">
        <v>258</v>
      </c>
      <c r="N31" s="20"/>
      <c r="O31" s="20"/>
      <c r="P31" s="1"/>
      <c r="Q31" s="1"/>
      <c r="R31" s="17">
        <f>SUM(K31:Q31)</f>
        <v>0</v>
      </c>
      <c r="T31" s="14">
        <f>R31+J31</f>
        <v>100</v>
      </c>
      <c r="V31" s="28">
        <v>3</v>
      </c>
      <c r="W31" s="29">
        <v>45766</v>
      </c>
      <c r="X31" s="45">
        <v>2335</v>
      </c>
      <c r="Y31" s="45">
        <v>-1150</v>
      </c>
      <c r="Z31" s="45">
        <v>-990</v>
      </c>
      <c r="AA31" s="45">
        <v>-195</v>
      </c>
    </row>
    <row r="32" spans="2:36" x14ac:dyDescent="0.3">
      <c r="B32" s="67"/>
      <c r="C32" s="4" t="s">
        <v>22</v>
      </c>
      <c r="D32" s="18"/>
      <c r="E32" s="1"/>
      <c r="F32" s="1"/>
      <c r="G32" s="1"/>
      <c r="H32" s="1"/>
      <c r="I32" s="1"/>
      <c r="J32" s="19">
        <f>(D32*D$59)+(E32*E$59)+(F32*F$59)+(G32*G$59)+(H32*H$59)+(I32*I$59)</f>
        <v>0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0</v>
      </c>
      <c r="V32" s="28">
        <v>4</v>
      </c>
      <c r="W32" s="44">
        <v>45767</v>
      </c>
      <c r="X32" s="45">
        <v>3155</v>
      </c>
      <c r="Y32" s="45">
        <v>-970</v>
      </c>
      <c r="Z32" s="45">
        <v>-930</v>
      </c>
      <c r="AA32" s="45">
        <v>-1255</v>
      </c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305</v>
      </c>
      <c r="D33" s="9"/>
      <c r="E33" s="10">
        <v>2</v>
      </c>
      <c r="F33" s="10"/>
      <c r="G33" s="10"/>
      <c r="H33" s="10"/>
      <c r="I33" s="10"/>
      <c r="J33" s="11">
        <f>(D33*D$59)+(E33*E$59)+(F33*F$59)+(G33*G$59)+(H33*H$59)+(I33*I$59)</f>
        <v>200</v>
      </c>
      <c r="K33" s="12" t="str">
        <f t="shared" si="0"/>
        <v/>
      </c>
      <c r="L33" s="12">
        <f t="shared" si="1"/>
        <v>50</v>
      </c>
      <c r="M33" s="12" t="s">
        <v>258</v>
      </c>
      <c r="N33" s="12"/>
      <c r="O33" s="12"/>
      <c r="P33" s="10"/>
      <c r="Q33" s="10"/>
      <c r="R33" s="13">
        <f>SUM(K33:Q33)</f>
        <v>50</v>
      </c>
      <c r="T33" s="22">
        <f>(R33+J33)</f>
        <v>250</v>
      </c>
      <c r="V33" s="28">
        <v>5</v>
      </c>
      <c r="W33" s="29">
        <v>45767</v>
      </c>
      <c r="X33" s="28">
        <v>-900</v>
      </c>
      <c r="Y33" s="28">
        <v>-920</v>
      </c>
      <c r="Z33" s="28">
        <v>3495</v>
      </c>
      <c r="AA33" s="28">
        <v>-1675</v>
      </c>
      <c r="AC33" s="28" t="s">
        <v>211</v>
      </c>
      <c r="AD33" s="28">
        <f>T34</f>
        <v>1030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57">
        <f>SUM(T29:T33)</f>
        <v>1030</v>
      </c>
      <c r="V34" s="28">
        <v>6</v>
      </c>
      <c r="W34" s="29">
        <v>45768</v>
      </c>
      <c r="X34" s="28">
        <v>-500</v>
      </c>
      <c r="Y34" s="28">
        <v>-1125</v>
      </c>
      <c r="Z34" s="28">
        <v>-155</v>
      </c>
      <c r="AA34" s="28">
        <v>1780</v>
      </c>
      <c r="AC34" s="28" t="s">
        <v>96</v>
      </c>
      <c r="AD34" s="28">
        <f>T40</f>
        <v>315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56" t="s">
        <v>60</v>
      </c>
      <c r="D35" s="23">
        <v>0</v>
      </c>
      <c r="E35" s="6"/>
      <c r="F35" s="6"/>
      <c r="G35" s="6"/>
      <c r="H35" s="6"/>
      <c r="I35" s="6">
        <v>1</v>
      </c>
      <c r="J35" s="7">
        <f>(D35*D$59)+(E35*E$59)+(F35*F$59)+(G35*G$59)+(H35*H$59)+(I35*I$59)</f>
        <v>-50</v>
      </c>
      <c r="K35" s="23" t="str">
        <f t="shared" ref="K35:K39" si="2">IF(D35&gt;=100, 250, IF(D35&gt;=50, 150, IF(D35&gt;=30, 50, "")))</f>
        <v/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0</v>
      </c>
      <c r="T35" s="33">
        <f>(R35+J35)*2</f>
        <v>-100</v>
      </c>
      <c r="V35" s="28">
        <v>7</v>
      </c>
      <c r="W35" s="29">
        <v>45769</v>
      </c>
      <c r="X35" s="28">
        <v>-885</v>
      </c>
      <c r="Y35" s="28">
        <v>-1710</v>
      </c>
      <c r="Z35" s="28">
        <v>-1995</v>
      </c>
      <c r="AA35" s="28">
        <v>4590</v>
      </c>
      <c r="AC35" s="28" t="s">
        <v>97</v>
      </c>
      <c r="AD35" s="28">
        <f>T46</f>
        <v>885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70</v>
      </c>
      <c r="D36" s="20">
        <v>40</v>
      </c>
      <c r="E36" s="1"/>
      <c r="F36" s="1"/>
      <c r="G36" s="1"/>
      <c r="H36" s="1"/>
      <c r="I36" s="1"/>
      <c r="J36" s="19">
        <f>(D36*D$59)+(E36*E$59)+(F36*F$59)+(G36*G$59)+(H36*H$59)+(I36*I$59)</f>
        <v>200</v>
      </c>
      <c r="K36" s="15">
        <f t="shared" si="2"/>
        <v>50</v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50</v>
      </c>
      <c r="T36" s="14">
        <f>R36+J36</f>
        <v>250</v>
      </c>
      <c r="V36" s="28">
        <v>8</v>
      </c>
      <c r="W36" s="29">
        <v>45770</v>
      </c>
      <c r="X36" s="28">
        <f>T34-T52</f>
        <v>-45</v>
      </c>
      <c r="Y36" s="28">
        <f>T40-T52</f>
        <v>-760</v>
      </c>
      <c r="Z36" s="28">
        <f>T46-T52</f>
        <v>-190</v>
      </c>
      <c r="AA36" s="28">
        <f>-(X36+Y36+Z36)</f>
        <v>995</v>
      </c>
      <c r="AC36" s="28" t="s">
        <v>285</v>
      </c>
      <c r="AD36" s="28">
        <f>T52</f>
        <v>1075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240</v>
      </c>
      <c r="D37" s="20"/>
      <c r="E37" s="1">
        <v>1</v>
      </c>
      <c r="F37" s="1"/>
      <c r="G37" s="1"/>
      <c r="H37" s="1"/>
      <c r="I37" s="1"/>
      <c r="J37" s="19">
        <f>(D37*D$59)+(E37*E$59)+(F37*F$59)+(G37*G$59)+(H37*H$59)+(I37*I$59)</f>
        <v>100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100</v>
      </c>
      <c r="V37" s="28"/>
      <c r="W37" s="29"/>
      <c r="X37" s="28"/>
      <c r="Y37" s="28"/>
      <c r="Z37" s="28"/>
      <c r="AA37" s="28"/>
      <c r="AF37" s="49" t="s">
        <v>284</v>
      </c>
      <c r="AG37" s="49">
        <f>X28</f>
        <v>7915</v>
      </c>
      <c r="AH37" s="49">
        <f>Y28</f>
        <v>-8325</v>
      </c>
      <c r="AI37" s="49">
        <f>Z28</f>
        <v>-2815</v>
      </c>
      <c r="AJ37" s="49">
        <f>AA28</f>
        <v>3225</v>
      </c>
    </row>
    <row r="38" spans="2:36" x14ac:dyDescent="0.3">
      <c r="B38" s="67"/>
      <c r="C38" s="19" t="s">
        <v>48</v>
      </c>
      <c r="D38" s="20">
        <v>1</v>
      </c>
      <c r="E38" s="1"/>
      <c r="F38" s="1"/>
      <c r="G38" s="1"/>
      <c r="H38" s="1"/>
      <c r="I38" s="1"/>
      <c r="J38" s="19">
        <f>(D38*D$59)+(E38*E$59)+(F38*F$59)+(G38*G$59)+(H38*H$59)+(I38*I$59)</f>
        <v>5</v>
      </c>
      <c r="K38" s="15" t="str">
        <f t="shared" si="2"/>
        <v/>
      </c>
      <c r="L38" s="20" t="str">
        <f t="shared" si="3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5</v>
      </c>
      <c r="V38" s="28"/>
      <c r="W38" s="29"/>
      <c r="X38" s="28"/>
      <c r="Y38" s="28"/>
      <c r="Z38" s="28"/>
      <c r="AA38" s="28"/>
      <c r="AF38" s="49" t="s">
        <v>0</v>
      </c>
      <c r="AG38" s="49">
        <f>SUM(AG33:AG37)</f>
        <v>13630</v>
      </c>
      <c r="AH38" s="49">
        <f t="shared" ref="AH38:AJ38" si="4">SUM(AH33:AH37)</f>
        <v>-3250</v>
      </c>
      <c r="AI38" s="49">
        <f t="shared" si="4"/>
        <v>3325</v>
      </c>
      <c r="AJ38" s="49">
        <f t="shared" si="4"/>
        <v>-13705</v>
      </c>
    </row>
    <row r="39" spans="2:36" ht="15" thickBot="1" x14ac:dyDescent="0.35">
      <c r="B39" s="68"/>
      <c r="C39" s="11" t="s">
        <v>157</v>
      </c>
      <c r="D39" s="12">
        <v>12</v>
      </c>
      <c r="E39" s="10"/>
      <c r="F39" s="10"/>
      <c r="G39" s="10"/>
      <c r="H39" s="10"/>
      <c r="I39" s="10"/>
      <c r="J39" s="11">
        <f>(D39*D$59)+(E39*E$59)+(F39*F$59)+(G39*G$59)+(H39*H$59)+(I39*I$59)</f>
        <v>60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60</v>
      </c>
      <c r="V39" s="28"/>
      <c r="W39" s="29"/>
      <c r="X39" s="28"/>
      <c r="Y39" s="28"/>
      <c r="Z39" s="28"/>
      <c r="AA39" s="28"/>
    </row>
    <row r="40" spans="2:36" ht="15" thickBot="1" x14ac:dyDescent="0.35">
      <c r="K40" s="2" t="s">
        <v>258</v>
      </c>
      <c r="L40" s="2" t="s">
        <v>258</v>
      </c>
      <c r="T40" s="57">
        <f>SUM(T35:T39)</f>
        <v>315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56" t="s">
        <v>306</v>
      </c>
      <c r="D41" s="23">
        <v>22</v>
      </c>
      <c r="E41" s="6"/>
      <c r="F41" s="6"/>
      <c r="G41" s="6"/>
      <c r="H41" s="6"/>
      <c r="I41" s="6"/>
      <c r="J41" s="7">
        <f>(D41*D$59)+(E41*E$59)+(F41*F$59)+(G41*G$59)+(H41*H$59)+(I41*I$59)</f>
        <v>110</v>
      </c>
      <c r="K41" s="23" t="str">
        <f t="shared" ref="K41:K45" si="5">IF(D41&gt;=100, 250, IF(D41&gt;=50, 150, IF(D41&gt;=30, 50, "")))</f>
        <v/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0</v>
      </c>
      <c r="T41" s="33">
        <f>(R41+J41)*2</f>
        <v>220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268</v>
      </c>
      <c r="D42" s="20">
        <v>71</v>
      </c>
      <c r="E42" s="1"/>
      <c r="F42" s="1"/>
      <c r="G42" s="1"/>
      <c r="H42" s="1"/>
      <c r="I42" s="1"/>
      <c r="J42" s="19">
        <f>(D42*D$59)+(E42*E$59)+(F42*F$59)+(G42*G$59)+(H42*H$59)+(I42*I$59)</f>
        <v>355</v>
      </c>
      <c r="K42" s="15">
        <f t="shared" si="5"/>
        <v>150</v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150</v>
      </c>
      <c r="T42" s="14">
        <f>R42+J42</f>
        <v>505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105</v>
      </c>
      <c r="D43" s="20">
        <v>2</v>
      </c>
      <c r="E43" s="1"/>
      <c r="F43" s="1"/>
      <c r="G43" s="1"/>
      <c r="H43" s="1"/>
      <c r="I43" s="1"/>
      <c r="J43" s="19">
        <f>(D43*D$59)+(E43*E$59)+(F43*F$59)+(G43*G$59)+(H43*H$59)+(I43*I$59)</f>
        <v>10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10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307</v>
      </c>
      <c r="D44" s="20"/>
      <c r="E44" s="1">
        <v>1</v>
      </c>
      <c r="F44" s="1"/>
      <c r="G44" s="1"/>
      <c r="H44" s="1"/>
      <c r="I44" s="1"/>
      <c r="J44" s="19">
        <f>(D44*D$59)+(E44*E$59)+(F44*F$59)+(G44*G$59)+(H44*H$59)+(I44*I$59)</f>
        <v>100</v>
      </c>
      <c r="K44" s="15" t="str">
        <f t="shared" si="5"/>
        <v/>
      </c>
      <c r="L44" s="20" t="str">
        <f t="shared" si="6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100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88</v>
      </c>
      <c r="D45" s="12"/>
      <c r="E45" s="10"/>
      <c r="F45" s="10"/>
      <c r="G45" s="10"/>
      <c r="H45" s="10">
        <v>1</v>
      </c>
      <c r="I45" s="10"/>
      <c r="J45" s="11">
        <f>(D45*D$59)+(E45*E$59)+(F45*F$59)+(G45*G$59)+(H45*H$59)+(I45*I$59)</f>
        <v>50</v>
      </c>
      <c r="K45" s="12" t="str">
        <f t="shared" si="5"/>
        <v/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50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57">
        <f>SUM(T41:T45)</f>
        <v>885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56" t="s">
        <v>238</v>
      </c>
      <c r="D47" s="23">
        <v>11</v>
      </c>
      <c r="E47" s="6"/>
      <c r="F47" s="6"/>
      <c r="G47" s="6"/>
      <c r="H47" s="6">
        <v>2</v>
      </c>
      <c r="I47" s="6"/>
      <c r="J47" s="7">
        <f>(D47*D$59)+(E47*E$59)+(F47*F$59)+(G47*G$59)+(H47*H$59)+(I47*I$59)</f>
        <v>155</v>
      </c>
      <c r="K47" s="23" t="str">
        <f t="shared" ref="K47:K51" si="7">IF(D47&gt;=100, 250, IF(D47&gt;=50, 150, IF(D47&gt;=30, 50, "")))</f>
        <v/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0</v>
      </c>
      <c r="T47" s="33">
        <f>(R47+J47)*2</f>
        <v>310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56</v>
      </c>
      <c r="D48" s="20">
        <v>1</v>
      </c>
      <c r="E48" s="1"/>
      <c r="F48" s="1"/>
      <c r="G48" s="1"/>
      <c r="H48" s="1"/>
      <c r="I48" s="1"/>
      <c r="J48" s="19">
        <f>(D48*D$59)+(E48*E$59)+(F48*F$59)+(G48*G$59)+(H48*H$59)+(I48*I$59)</f>
        <v>5</v>
      </c>
      <c r="K48" s="15" t="str">
        <f t="shared" si="7"/>
        <v/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0</v>
      </c>
      <c r="T48" s="14">
        <f>R48+J48</f>
        <v>5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55</v>
      </c>
      <c r="D49" s="20">
        <v>2</v>
      </c>
      <c r="E49" s="1"/>
      <c r="F49" s="1"/>
      <c r="G49" s="1"/>
      <c r="H49" s="1">
        <v>1</v>
      </c>
      <c r="I49" s="1"/>
      <c r="J49" s="19">
        <f>(D49*D$59)+(E49*E$59)+(F49*F$59)+(G49*G$59)+(H49*H$59)+(I49*I$59)</f>
        <v>60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60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51</v>
      </c>
      <c r="D50" s="20"/>
      <c r="E50" s="1">
        <v>4</v>
      </c>
      <c r="F50" s="1"/>
      <c r="G50" s="1"/>
      <c r="H50" s="1"/>
      <c r="I50" s="1"/>
      <c r="J50" s="19">
        <f>(D50*D$59)+(E50*E$59)+(F50*F$59)+(G50*G$59)+(H50*H$59)+(I50*I$59)</f>
        <v>400</v>
      </c>
      <c r="K50" s="15" t="str">
        <f t="shared" si="7"/>
        <v/>
      </c>
      <c r="L50" s="20">
        <v>150</v>
      </c>
      <c r="M50" s="20" t="s">
        <v>258</v>
      </c>
      <c r="N50" s="20"/>
      <c r="O50" s="20"/>
      <c r="P50" s="1"/>
      <c r="Q50" s="1"/>
      <c r="R50" s="17">
        <f>SUM(K50:Q50)</f>
        <v>150</v>
      </c>
      <c r="T50" s="14">
        <f>R50+J50</f>
        <v>550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234</v>
      </c>
      <c r="D51" s="12"/>
      <c r="E51" s="10">
        <v>1</v>
      </c>
      <c r="F51" s="10"/>
      <c r="G51" s="10"/>
      <c r="H51" s="10">
        <v>1</v>
      </c>
      <c r="I51" s="10"/>
      <c r="J51" s="11">
        <f>(D51*D$59)+(E51*E$59)+(F51*F$59)+(G51*G$59)+(H51*H$59)+(I51*I$59)</f>
        <v>150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150</v>
      </c>
      <c r="V51" s="28"/>
      <c r="W51" s="29"/>
      <c r="X51" s="28"/>
      <c r="Y51" s="28"/>
      <c r="Z51" s="28"/>
      <c r="AA51" s="28"/>
    </row>
    <row r="52" spans="2:30" ht="15" thickBot="1" x14ac:dyDescent="0.35">
      <c r="T52" s="57">
        <f>SUM(T47:T51)</f>
        <v>1075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9345</v>
      </c>
      <c r="Y60" s="42">
        <f>SUM(Y61:Y68)</f>
        <v>-4730</v>
      </c>
      <c r="Z60" s="42">
        <f>SUM(Z61:Z68)</f>
        <v>-475</v>
      </c>
      <c r="AA60" s="42">
        <f>SUM(AA61:AA68)</f>
        <v>-4140</v>
      </c>
    </row>
    <row r="61" spans="2:30" x14ac:dyDescent="0.3">
      <c r="B61" s="66" t="s">
        <v>211</v>
      </c>
      <c r="C61" s="38" t="s">
        <v>111</v>
      </c>
      <c r="D61" s="5">
        <v>24</v>
      </c>
      <c r="E61" s="6"/>
      <c r="F61" s="6"/>
      <c r="G61" s="6">
        <v>1</v>
      </c>
      <c r="H61" s="6">
        <v>1</v>
      </c>
      <c r="I61" s="6"/>
      <c r="J61" s="7">
        <f>(D61*D$59)+(E61*E$59)+(F61*F$59)+(G61*G$59)+(H61*H$59)+(I61*I$59)</f>
        <v>220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440</v>
      </c>
      <c r="V61" s="28">
        <v>1</v>
      </c>
      <c r="W61" s="29">
        <v>45764</v>
      </c>
      <c r="X61" s="28">
        <v>-5</v>
      </c>
      <c r="Y61" s="28">
        <v>-330</v>
      </c>
      <c r="Z61" s="28">
        <v>-140</v>
      </c>
      <c r="AA61" s="28">
        <v>475</v>
      </c>
    </row>
    <row r="62" spans="2:30" x14ac:dyDescent="0.3">
      <c r="B62" s="67"/>
      <c r="C62" s="4" t="s">
        <v>70</v>
      </c>
      <c r="D62" s="18">
        <v>68</v>
      </c>
      <c r="E62" s="1"/>
      <c r="F62" s="1"/>
      <c r="G62" s="1"/>
      <c r="H62" s="1"/>
      <c r="I62" s="1"/>
      <c r="J62" s="19">
        <f>(D62*D$59)+(E62*E$59)+(F62*F$59)+(G62*G$59)+(H62*H$59)+(I62*I$59)</f>
        <v>340</v>
      </c>
      <c r="K62" s="15">
        <f t="shared" ref="K62:K65" si="9">IF(D62&gt;=100, 250, IF(D62&gt;=50, 150, IF(D62&gt;=30, 50, "")))</f>
        <v>150</v>
      </c>
      <c r="L62" s="20" t="str">
        <f t="shared" ref="L62:L65" si="10">IF(E62=5, 200, IF(E62=3, 150, IF(E62=2, 50, "")))</f>
        <v/>
      </c>
      <c r="M62" s="20" t="s">
        <v>258</v>
      </c>
      <c r="N62" s="20"/>
      <c r="O62" s="20">
        <v>150</v>
      </c>
      <c r="P62" s="1"/>
      <c r="Q62" s="1"/>
      <c r="R62" s="17">
        <f>SUM(K62:Q62)</f>
        <v>300</v>
      </c>
      <c r="T62" s="14">
        <f>R62+J62</f>
        <v>640</v>
      </c>
      <c r="V62" s="28">
        <v>2</v>
      </c>
      <c r="W62" s="29">
        <v>45766</v>
      </c>
      <c r="X62" s="45">
        <v>4760</v>
      </c>
      <c r="Y62" s="45">
        <v>-1360</v>
      </c>
      <c r="Z62" s="45">
        <v>-1910</v>
      </c>
      <c r="AA62" s="45">
        <v>-1490</v>
      </c>
    </row>
    <row r="63" spans="2:30" x14ac:dyDescent="0.3">
      <c r="B63" s="67"/>
      <c r="C63" s="4" t="s">
        <v>51</v>
      </c>
      <c r="D63" s="18"/>
      <c r="E63" s="1"/>
      <c r="F63" s="1"/>
      <c r="G63" s="1"/>
      <c r="H63" s="1"/>
      <c r="I63" s="1"/>
      <c r="J63" s="19">
        <f>(D63*D$59)+(E63*E$59)+(F63*F$59)+(G63*G$59)+(H63*H$59)+(I63*I$59)</f>
        <v>0</v>
      </c>
      <c r="K63" s="15" t="str">
        <f t="shared" si="9"/>
        <v/>
      </c>
      <c r="L63" s="20" t="str">
        <f t="shared" si="10"/>
        <v/>
      </c>
      <c r="M63" s="20" t="s">
        <v>258</v>
      </c>
      <c r="N63" s="20"/>
      <c r="O63" s="20"/>
      <c r="P63" s="1"/>
      <c r="Q63" s="1"/>
      <c r="R63" s="17">
        <f>SUM(K63:Q63)</f>
        <v>0</v>
      </c>
      <c r="T63" s="14">
        <f>R63+J63</f>
        <v>0</v>
      </c>
      <c r="V63" s="28">
        <v>3</v>
      </c>
      <c r="W63" s="29">
        <v>45766</v>
      </c>
      <c r="X63" s="45">
        <v>2335</v>
      </c>
      <c r="Y63" s="45">
        <v>-1150</v>
      </c>
      <c r="Z63" s="45">
        <v>-990</v>
      </c>
      <c r="AA63" s="45">
        <v>-195</v>
      </c>
      <c r="AC63" s="50" t="s">
        <v>5</v>
      </c>
      <c r="AD63" s="50" t="s">
        <v>235</v>
      </c>
    </row>
    <row r="64" spans="2:30" x14ac:dyDescent="0.3">
      <c r="B64" s="67"/>
      <c r="C64" s="4" t="s">
        <v>26</v>
      </c>
      <c r="D64" s="18"/>
      <c r="E64" s="1"/>
      <c r="F64" s="1"/>
      <c r="G64" s="1"/>
      <c r="H64" s="1"/>
      <c r="I64" s="1"/>
      <c r="J64" s="19">
        <f>(D64*D$59)+(E64*E$59)+(F64*F$59)+(G64*G$59)+(H64*H$59)+(I64*I$59)</f>
        <v>0</v>
      </c>
      <c r="K64" s="15" t="str">
        <f t="shared" si="9"/>
        <v/>
      </c>
      <c r="L64" s="20" t="str">
        <f t="shared" si="10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44">
        <v>45767</v>
      </c>
      <c r="X64" s="45">
        <v>3155</v>
      </c>
      <c r="Y64" s="45">
        <v>-970</v>
      </c>
      <c r="Z64" s="45">
        <v>-930</v>
      </c>
      <c r="AA64" s="45">
        <v>-1255</v>
      </c>
      <c r="AC64" s="28" t="s">
        <v>211</v>
      </c>
      <c r="AD64" s="28">
        <f>T66</f>
        <v>1080</v>
      </c>
    </row>
    <row r="65" spans="2:30" ht="15" thickBot="1" x14ac:dyDescent="0.35">
      <c r="B65" s="68"/>
      <c r="C65" s="21" t="s">
        <v>181</v>
      </c>
      <c r="D65" s="9"/>
      <c r="E65" s="10"/>
      <c r="F65" s="10"/>
      <c r="G65" s="10"/>
      <c r="H65" s="10"/>
      <c r="I65" s="10"/>
      <c r="J65" s="11">
        <f>(D65*D$59)+(E65*E$59)+(F65*F$59)+(G65*G$59)+(H65*H$59)+(I65*I$59)</f>
        <v>0</v>
      </c>
      <c r="K65" s="12" t="str">
        <f t="shared" si="9"/>
        <v/>
      </c>
      <c r="L65" s="12" t="str">
        <f t="shared" si="10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0</v>
      </c>
      <c r="V65" s="28">
        <v>5</v>
      </c>
      <c r="W65" s="29">
        <v>45767</v>
      </c>
      <c r="X65" s="28">
        <f>T66-T78</f>
        <v>-900</v>
      </c>
      <c r="Y65" s="28">
        <f>T72-T78</f>
        <v>-920</v>
      </c>
      <c r="Z65" s="28">
        <f>-(X65+Y65+AA65)</f>
        <v>3495</v>
      </c>
      <c r="AA65" s="28">
        <f>T84-T78</f>
        <v>-1675</v>
      </c>
      <c r="AC65" s="28" t="s">
        <v>96</v>
      </c>
      <c r="AD65" s="28">
        <f>T72</f>
        <v>1060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1080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1980</v>
      </c>
    </row>
    <row r="67" spans="2:30" x14ac:dyDescent="0.3">
      <c r="B67" s="66" t="s">
        <v>96</v>
      </c>
      <c r="C67" s="39" t="s">
        <v>75</v>
      </c>
      <c r="D67" s="23"/>
      <c r="E67" s="6"/>
      <c r="F67" s="6"/>
      <c r="G67" s="6"/>
      <c r="H67" s="6">
        <v>1</v>
      </c>
      <c r="I67" s="6"/>
      <c r="J67" s="7">
        <f>(D67*D$59)+(E67*E$59)+(F67*F$59)+(G67*G$59)+(H67*H$59)+(I67*I$59)</f>
        <v>50</v>
      </c>
      <c r="K67" s="23" t="str">
        <f t="shared" ref="K67:K71" si="11">IF(D67&gt;=100, 250, IF(D67&gt;=50, 150, IF(D67&gt;=30, 50, "")))</f>
        <v/>
      </c>
      <c r="L67" s="23" t="str">
        <f t="shared" ref="L67:L71" si="12">IF(E67=5, 200, IF(E67=3, 150, IF(E67=2, 50, "")))</f>
        <v/>
      </c>
      <c r="M67" s="23"/>
      <c r="N67" s="23"/>
      <c r="O67" s="23"/>
      <c r="P67" s="6"/>
      <c r="Q67" s="6"/>
      <c r="R67" s="24">
        <f>SUM(K67:Q67)</f>
        <v>0</v>
      </c>
      <c r="T67" s="33">
        <f>(R67+J67)*2</f>
        <v>100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305</v>
      </c>
    </row>
    <row r="68" spans="2:30" x14ac:dyDescent="0.3">
      <c r="B68" s="67"/>
      <c r="C68" s="19" t="s">
        <v>240</v>
      </c>
      <c r="D68" s="20"/>
      <c r="E68" s="1">
        <v>2</v>
      </c>
      <c r="F68" s="1"/>
      <c r="G68" s="1"/>
      <c r="H68" s="1"/>
      <c r="I68" s="1"/>
      <c r="J68" s="19">
        <f>(D68*D$59)+(E68*E$59)+(F68*F$59)+(G68*G$59)+(H68*H$59)+(I68*I$59)</f>
        <v>200</v>
      </c>
      <c r="K68" s="15" t="str">
        <f t="shared" si="11"/>
        <v/>
      </c>
      <c r="L68" s="20">
        <f t="shared" si="12"/>
        <v>50</v>
      </c>
      <c r="M68" s="20"/>
      <c r="N68" s="20"/>
      <c r="O68" s="20"/>
      <c r="P68" s="1"/>
      <c r="Q68" s="1"/>
      <c r="R68" s="17">
        <f>SUM(K68:Q68)</f>
        <v>50</v>
      </c>
      <c r="T68" s="14">
        <f>R68+J68</f>
        <v>250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59</v>
      </c>
      <c r="D69" s="20">
        <v>53</v>
      </c>
      <c r="E69" s="1">
        <v>1</v>
      </c>
      <c r="F69" s="1"/>
      <c r="G69" s="1"/>
      <c r="H69" s="1"/>
      <c r="I69" s="1"/>
      <c r="J69" s="19">
        <f>(D69*D$59)+(E69*E$59)+(F69*F$59)+(G69*G$59)+(H69*H$59)+(I69*I$59)</f>
        <v>365</v>
      </c>
      <c r="K69" s="15">
        <f t="shared" si="11"/>
        <v>150</v>
      </c>
      <c r="L69" s="20" t="str">
        <f t="shared" si="12"/>
        <v/>
      </c>
      <c r="M69" s="20"/>
      <c r="N69" s="20"/>
      <c r="O69" s="20"/>
      <c r="P69" s="1"/>
      <c r="Q69" s="1"/>
      <c r="R69" s="17">
        <f>SUM(K69:Q69)</f>
        <v>150</v>
      </c>
      <c r="T69" s="14">
        <f>R69+J69</f>
        <v>515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276</v>
      </c>
      <c r="D70" s="20">
        <v>19</v>
      </c>
      <c r="E70" s="1"/>
      <c r="F70" s="1"/>
      <c r="G70" s="1"/>
      <c r="H70" s="1"/>
      <c r="I70" s="1"/>
      <c r="J70" s="19">
        <f>(D70*D$59)+(E70*E$59)+(F70*F$59)+(G70*G$59)+(H70*H$59)+(I70*I$59)</f>
        <v>95</v>
      </c>
      <c r="K70" s="15" t="str">
        <f t="shared" si="11"/>
        <v/>
      </c>
      <c r="L70" s="20" t="str">
        <f t="shared" si="12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95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214</v>
      </c>
      <c r="D71" s="12"/>
      <c r="E71" s="10">
        <v>1</v>
      </c>
      <c r="F71" s="10"/>
      <c r="G71" s="10"/>
      <c r="H71" s="10"/>
      <c r="I71" s="10"/>
      <c r="J71" s="11">
        <f>(D71*D$59)+(E71*E$59)+(F71*F$59)+(G71*G$59)+(H71*H$59)+(I71*I$59)</f>
        <v>100</v>
      </c>
      <c r="K71" s="12" t="str">
        <f t="shared" si="11"/>
        <v/>
      </c>
      <c r="L71" s="12" t="str">
        <f t="shared" si="12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100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1060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57</v>
      </c>
      <c r="D73" s="23">
        <v>76</v>
      </c>
      <c r="E73" s="6"/>
      <c r="F73" s="6"/>
      <c r="G73" s="6"/>
      <c r="H73" s="6"/>
      <c r="I73" s="6"/>
      <c r="J73" s="7">
        <f>(D73*D$59)+(E73*E$59)+(F73*F$59)+(G73*G$59)+(H73*H$59)+(I73*I$59)</f>
        <v>380</v>
      </c>
      <c r="K73" s="23">
        <f t="shared" ref="K73:K77" si="13">IF(D73&gt;=100, 250, IF(D73&gt;=50, 150, IF(D73&gt;=30, 50, "")))</f>
        <v>150</v>
      </c>
      <c r="L73" s="23" t="str">
        <f t="shared" ref="L73:L77" si="14">IF(E73=5, 200, IF(E73=3, 150, IF(E73=2, 50, "")))</f>
        <v/>
      </c>
      <c r="M73" s="23"/>
      <c r="N73" s="23"/>
      <c r="O73" s="23">
        <v>150</v>
      </c>
      <c r="P73" s="6"/>
      <c r="Q73" s="6"/>
      <c r="R73" s="24">
        <f>SUM(K73:Q73)</f>
        <v>300</v>
      </c>
      <c r="T73" s="33">
        <f>(R73+J73)*2</f>
        <v>1360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66</v>
      </c>
      <c r="D74" s="20">
        <v>50</v>
      </c>
      <c r="E74" s="1"/>
      <c r="F74" s="1"/>
      <c r="G74" s="1"/>
      <c r="H74" s="1"/>
      <c r="I74" s="1"/>
      <c r="J74" s="19">
        <f>(D74*D$59)+(E74*E$59)+(F74*F$59)+(G74*G$59)+(H74*H$59)+(I74*I$59)</f>
        <v>250</v>
      </c>
      <c r="K74" s="15">
        <f t="shared" si="13"/>
        <v>150</v>
      </c>
      <c r="L74" s="20" t="str">
        <f t="shared" si="14"/>
        <v/>
      </c>
      <c r="M74" s="20"/>
      <c r="N74" s="20"/>
      <c r="O74" s="20"/>
      <c r="P74" s="1"/>
      <c r="Q74" s="1"/>
      <c r="R74" s="17">
        <f>SUM(K74:Q74)</f>
        <v>150</v>
      </c>
      <c r="T74" s="14">
        <f>R74+J74</f>
        <v>400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55</v>
      </c>
      <c r="D75" s="20"/>
      <c r="E75" s="1"/>
      <c r="F75" s="1"/>
      <c r="G75" s="1"/>
      <c r="H75" s="1">
        <v>1</v>
      </c>
      <c r="I75" s="1"/>
      <c r="J75" s="19">
        <f>(D75*D$59)+(E75*E$59)+(F75*F$59)+(G75*G$59)+(H75*H$59)+(I75*I$59)</f>
        <v>50</v>
      </c>
      <c r="K75" s="15" t="str">
        <f t="shared" si="13"/>
        <v/>
      </c>
      <c r="L75" s="20" t="str">
        <f t="shared" si="14"/>
        <v/>
      </c>
      <c r="M75" s="20"/>
      <c r="N75" s="20"/>
      <c r="O75" s="20"/>
      <c r="P75" s="1"/>
      <c r="Q75" s="1"/>
      <c r="R75" s="17">
        <f>SUM(K75:Q75)</f>
        <v>0</v>
      </c>
      <c r="T75" s="14">
        <f>R75+J75</f>
        <v>50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295</v>
      </c>
      <c r="D76" s="20">
        <v>4</v>
      </c>
      <c r="E76" s="1"/>
      <c r="F76" s="1"/>
      <c r="G76" s="1"/>
      <c r="H76" s="1"/>
      <c r="I76" s="1"/>
      <c r="J76" s="19">
        <f>(D76*D$59)+(E76*E$59)+(F76*F$59)+(G76*G$59)+(H76*H$59)+(I76*I$59)</f>
        <v>20</v>
      </c>
      <c r="K76" s="15" t="str">
        <f t="shared" si="13"/>
        <v/>
      </c>
      <c r="L76" s="20" t="str">
        <f t="shared" si="14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20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88</v>
      </c>
      <c r="D77" s="12"/>
      <c r="E77" s="10">
        <v>1</v>
      </c>
      <c r="F77" s="10"/>
      <c r="G77" s="10"/>
      <c r="H77" s="10">
        <v>1</v>
      </c>
      <c r="I77" s="10"/>
      <c r="J77" s="11">
        <f>(D77*D$59)+(E77*E$59)+(F77*F$59)+(G77*G$59)+(H77*H$59)+(I77*I$59)</f>
        <v>150</v>
      </c>
      <c r="K77" s="12" t="str">
        <f t="shared" si="13"/>
        <v/>
      </c>
      <c r="L77" s="12" t="str">
        <f t="shared" si="14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150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1980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166</v>
      </c>
      <c r="D79" s="23"/>
      <c r="E79" s="6"/>
      <c r="F79" s="6"/>
      <c r="G79" s="6"/>
      <c r="H79" s="6"/>
      <c r="I79" s="6"/>
      <c r="J79" s="7">
        <f>(D79*D$59)+(E79*E$59)+(F79*F$59)+(G79*G$59)+(H79*H$59)+(I79*I$59)</f>
        <v>0</v>
      </c>
      <c r="K79" s="23" t="str">
        <f t="shared" ref="K79:K83" si="15">IF(D79&gt;=100, 250, IF(D79&gt;=50, 150, IF(D79&gt;=30, 50, "")))</f>
        <v/>
      </c>
      <c r="L79" s="23" t="str">
        <f t="shared" ref="L79:L83" si="16">IF(E79=5, 200, IF(E79=3, 150, IF(E79=2, 50, "")))</f>
        <v/>
      </c>
      <c r="M79" s="23"/>
      <c r="N79" s="23"/>
      <c r="O79" s="23"/>
      <c r="P79" s="6"/>
      <c r="Q79" s="6"/>
      <c r="R79" s="24">
        <f>SUM(K79:Q79)</f>
        <v>0</v>
      </c>
      <c r="T79" s="33">
        <f>(R79+J79)*2</f>
        <v>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36</v>
      </c>
      <c r="D80" s="20">
        <v>5</v>
      </c>
      <c r="E80" s="1"/>
      <c r="F80" s="1"/>
      <c r="G80" s="1"/>
      <c r="H80" s="1"/>
      <c r="I80" s="1"/>
      <c r="J80" s="19">
        <f>(D80*D$59)+(E80*E$59)+(F80*F$59)+(G80*G$59)+(H80*H$59)+(I80*I$59)</f>
        <v>25</v>
      </c>
      <c r="K80" s="15" t="str">
        <f t="shared" si="15"/>
        <v/>
      </c>
      <c r="L80" s="20" t="str">
        <f t="shared" si="16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25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77</v>
      </c>
      <c r="D81" s="20"/>
      <c r="E81" s="1"/>
      <c r="F81" s="1"/>
      <c r="G81" s="1"/>
      <c r="H81" s="1"/>
      <c r="I81" s="1"/>
      <c r="J81" s="19">
        <f>(D81*D$59)+(E81*E$59)+(F81*F$59)+(G81*G$59)+(H81*H$59)+(I81*I$59)</f>
        <v>0</v>
      </c>
      <c r="K81" s="15" t="str">
        <f t="shared" si="15"/>
        <v/>
      </c>
      <c r="L81" s="20" t="str">
        <f t="shared" si="16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296</v>
      </c>
      <c r="D82" s="20">
        <v>32</v>
      </c>
      <c r="E82" s="1"/>
      <c r="F82" s="1"/>
      <c r="G82" s="1"/>
      <c r="H82" s="1">
        <v>1</v>
      </c>
      <c r="I82" s="1"/>
      <c r="J82" s="19">
        <f>(D82*D$59)+(E82*E$59)+(F82*F$59)+(G82*G$59)+(H82*H$59)+(I82*I$59)</f>
        <v>210</v>
      </c>
      <c r="K82" s="15">
        <f t="shared" si="15"/>
        <v>50</v>
      </c>
      <c r="L82" s="20" t="str">
        <f t="shared" si="16"/>
        <v/>
      </c>
      <c r="M82" s="20" t="s">
        <v>258</v>
      </c>
      <c r="N82" s="20"/>
      <c r="O82" s="20"/>
      <c r="P82" s="1"/>
      <c r="Q82" s="1"/>
      <c r="R82" s="17">
        <f>SUM(K82:Q82)</f>
        <v>50</v>
      </c>
      <c r="T82" s="14">
        <f>R82+J82</f>
        <v>260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184</v>
      </c>
      <c r="D83" s="12">
        <v>4</v>
      </c>
      <c r="E83" s="10"/>
      <c r="F83" s="10"/>
      <c r="G83" s="10"/>
      <c r="H83" s="10"/>
      <c r="I83" s="10"/>
      <c r="J83" s="11">
        <f>(D83*D$59)+(E83*E$59)+(F83*F$59)+(G83*G$59)+(H83*H$59)+(I83*I$59)</f>
        <v>20</v>
      </c>
      <c r="K83" s="12" t="str">
        <f t="shared" si="15"/>
        <v/>
      </c>
      <c r="L83" s="12" t="str">
        <f t="shared" si="16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20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AJ84"/>
  <sheetViews>
    <sheetView topLeftCell="C1" zoomScale="90" zoomScaleNormal="90" workbookViewId="0">
      <selection activeCell="X47" sqref="X47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-1750</v>
      </c>
      <c r="Y28" s="42">
        <f>SUM(Y29:Y36)</f>
        <v>4045</v>
      </c>
      <c r="Z28" s="42">
        <f>SUM(Z29:Z36)</f>
        <v>-1280</v>
      </c>
      <c r="AA28" s="42">
        <f>SUM(AA29:AA36)</f>
        <v>-1015</v>
      </c>
    </row>
    <row r="29" spans="2:36" x14ac:dyDescent="0.3">
      <c r="B29" s="66" t="s">
        <v>211</v>
      </c>
      <c r="C29" s="38" t="s">
        <v>35</v>
      </c>
      <c r="D29" s="5">
        <v>1</v>
      </c>
      <c r="E29" s="6"/>
      <c r="F29" s="6"/>
      <c r="G29" s="6"/>
      <c r="H29" s="6">
        <v>1</v>
      </c>
      <c r="I29" s="6"/>
      <c r="J29" s="7">
        <f>(D29*D$59)+(E29*E$59)+(F29*F$59)+(G29*G$59)+(H29*H$59)+(I29*I$59)</f>
        <v>55</v>
      </c>
      <c r="K29" s="15" t="str">
        <f>IF(D29&gt;=100, 250, IF(D29&gt;=50, 150, IF(D29&gt;=30, 50, "")))</f>
        <v/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0</v>
      </c>
      <c r="T29" s="14">
        <f>(R29+J29)*2</f>
        <v>110</v>
      </c>
      <c r="V29" s="28">
        <v>1</v>
      </c>
      <c r="W29" s="29" t="s">
        <v>312</v>
      </c>
      <c r="X29" s="28">
        <f>T34-T40</f>
        <v>-1750</v>
      </c>
      <c r="Y29" s="28">
        <f>-(X29+Z29+AA29)</f>
        <v>4045</v>
      </c>
      <c r="Z29" s="28">
        <f>T46-T40</f>
        <v>-1280</v>
      </c>
      <c r="AA29" s="28">
        <f>T52-T40</f>
        <v>-1015</v>
      </c>
    </row>
    <row r="30" spans="2:36" x14ac:dyDescent="0.3">
      <c r="B30" s="67"/>
      <c r="C30" s="4" t="s">
        <v>78</v>
      </c>
      <c r="D30" s="18">
        <v>28</v>
      </c>
      <c r="E30" s="1"/>
      <c r="F30" s="1"/>
      <c r="G30" s="1"/>
      <c r="H30" s="1">
        <v>2</v>
      </c>
      <c r="I30" s="1"/>
      <c r="J30" s="19">
        <f>(D30*D$59)+(E30*E$59)+(F30*F$59)+(G30*G$59)+(H30*H$59)+(I30*I$59)</f>
        <v>240</v>
      </c>
      <c r="K30" s="15" t="str">
        <f t="shared" ref="K30:K33" si="0">IF(D30&gt;=100, 250, IF(D30&gt;=50, 150, IF(D30&gt;=30, 50, "")))</f>
        <v/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0</v>
      </c>
      <c r="T30" s="14">
        <f>R30+J30</f>
        <v>240</v>
      </c>
      <c r="V30" s="28">
        <v>2</v>
      </c>
      <c r="W30" s="29"/>
      <c r="X30" s="45"/>
      <c r="Y30" s="45"/>
      <c r="Z30" s="45"/>
      <c r="AA30" s="45"/>
    </row>
    <row r="31" spans="2:36" x14ac:dyDescent="0.3">
      <c r="B31" s="67"/>
      <c r="C31" s="4" t="s">
        <v>294</v>
      </c>
      <c r="D31" s="18"/>
      <c r="E31" s="1"/>
      <c r="F31" s="1"/>
      <c r="G31" s="1"/>
      <c r="H31" s="1">
        <v>1</v>
      </c>
      <c r="I31" s="1"/>
      <c r="J31" s="19">
        <f>(D31*D$59)+(E31*E$59)+(F31*F$59)+(G31*G$59)+(H31*H$59)+(I31*I$59)</f>
        <v>50</v>
      </c>
      <c r="K31" s="15" t="str">
        <f t="shared" si="0"/>
        <v/>
      </c>
      <c r="L31" s="20" t="str">
        <f t="shared" si="1"/>
        <v/>
      </c>
      <c r="M31" s="20" t="s">
        <v>258</v>
      </c>
      <c r="N31" s="20"/>
      <c r="O31" s="20"/>
      <c r="P31" s="1"/>
      <c r="Q31" s="1"/>
      <c r="R31" s="17">
        <f>SUM(K31:Q31)</f>
        <v>0</v>
      </c>
      <c r="T31" s="14">
        <f>R31+J31</f>
        <v>50</v>
      </c>
      <c r="V31" s="28">
        <v>3</v>
      </c>
      <c r="W31" s="29"/>
      <c r="X31" s="45"/>
      <c r="Y31" s="45"/>
      <c r="Z31" s="45"/>
      <c r="AA31" s="45"/>
    </row>
    <row r="32" spans="2:36" x14ac:dyDescent="0.3">
      <c r="B32" s="67"/>
      <c r="C32" s="4" t="s">
        <v>309</v>
      </c>
      <c r="D32" s="18">
        <v>2</v>
      </c>
      <c r="E32" s="1"/>
      <c r="F32" s="1"/>
      <c r="G32" s="1"/>
      <c r="H32" s="1"/>
      <c r="I32" s="1"/>
      <c r="J32" s="19">
        <f>(D32*D$59)+(E32*E$59)+(F32*F$59)+(G32*G$59)+(H32*H$59)+(I32*I$59)</f>
        <v>10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10</v>
      </c>
      <c r="V32" s="28">
        <v>4</v>
      </c>
      <c r="W32" s="44"/>
      <c r="X32" s="45"/>
      <c r="Y32" s="45"/>
      <c r="Z32" s="45"/>
      <c r="AA32" s="45"/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162</v>
      </c>
      <c r="D33" s="9"/>
      <c r="E33" s="10">
        <v>1</v>
      </c>
      <c r="F33" s="10"/>
      <c r="G33" s="10"/>
      <c r="H33" s="10">
        <v>1</v>
      </c>
      <c r="I33" s="10"/>
      <c r="J33" s="11">
        <f>(D33*D$59)+(E33*E$59)+(F33*F$59)+(G33*G$59)+(H33*H$59)+(I33*I$59)</f>
        <v>150</v>
      </c>
      <c r="K33" s="12" t="str">
        <f t="shared" si="0"/>
        <v/>
      </c>
      <c r="L33" s="12" t="str">
        <f t="shared" si="1"/>
        <v/>
      </c>
      <c r="M33" s="12" t="s">
        <v>258</v>
      </c>
      <c r="N33" s="12"/>
      <c r="O33" s="12"/>
      <c r="P33" s="10"/>
      <c r="Q33" s="10"/>
      <c r="R33" s="13">
        <f>SUM(K33:Q33)</f>
        <v>0</v>
      </c>
      <c r="T33" s="22">
        <f>(R33+J33)</f>
        <v>150</v>
      </c>
      <c r="V33" s="28">
        <v>5</v>
      </c>
      <c r="W33" s="29"/>
      <c r="X33" s="28"/>
      <c r="Y33" s="28"/>
      <c r="Z33" s="28"/>
      <c r="AA33" s="28"/>
      <c r="AC33" s="28" t="s">
        <v>211</v>
      </c>
      <c r="AD33" s="28">
        <f>T34</f>
        <v>560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57">
        <f>SUM(T29:T33)</f>
        <v>560</v>
      </c>
      <c r="V34" s="28">
        <v>6</v>
      </c>
      <c r="W34" s="29"/>
      <c r="X34" s="28"/>
      <c r="Y34" s="28"/>
      <c r="Z34" s="28"/>
      <c r="AA34" s="28"/>
      <c r="AC34" s="28" t="s">
        <v>96</v>
      </c>
      <c r="AD34" s="28">
        <f>T40</f>
        <v>2310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39" t="s">
        <v>19</v>
      </c>
      <c r="D35" s="23">
        <v>70</v>
      </c>
      <c r="E35" s="6"/>
      <c r="F35" s="6"/>
      <c r="G35" s="6"/>
      <c r="H35" s="6"/>
      <c r="I35" s="6"/>
      <c r="J35" s="7">
        <f>(D35*D$59)+(E35*E$59)+(F35*F$59)+(G35*G$59)+(H35*H$59)+(I35*I$59)</f>
        <v>350</v>
      </c>
      <c r="K35" s="23">
        <f t="shared" ref="K35:K39" si="2">IF(D35&gt;=100, 250, IF(D35&gt;=50, 150, IF(D35&gt;=30, 50, "")))</f>
        <v>150</v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150</v>
      </c>
      <c r="T35" s="33">
        <f>(R35+J35)*2</f>
        <v>1000</v>
      </c>
      <c r="V35" s="28">
        <v>7</v>
      </c>
      <c r="W35" s="29"/>
      <c r="X35" s="28"/>
      <c r="Y35" s="28"/>
      <c r="Z35" s="28"/>
      <c r="AA35" s="28"/>
      <c r="AC35" s="28" t="s">
        <v>97</v>
      </c>
      <c r="AD35" s="28">
        <f>T46</f>
        <v>1030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61</v>
      </c>
      <c r="D36" s="20">
        <v>22</v>
      </c>
      <c r="E36" s="1"/>
      <c r="F36" s="1"/>
      <c r="G36" s="1"/>
      <c r="H36" s="1"/>
      <c r="I36" s="1"/>
      <c r="J36" s="19">
        <f>(D36*D$59)+(E36*E$59)+(F36*F$59)+(G36*G$59)+(H36*H$59)+(I36*I$59)</f>
        <v>110</v>
      </c>
      <c r="K36" s="15" t="str">
        <f t="shared" si="2"/>
        <v/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0</v>
      </c>
      <c r="T36" s="14">
        <f>R36+J36</f>
        <v>110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1295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100</v>
      </c>
      <c r="D37" s="20"/>
      <c r="E37" s="1">
        <v>4</v>
      </c>
      <c r="F37" s="1"/>
      <c r="G37" s="1"/>
      <c r="H37" s="1"/>
      <c r="I37" s="1"/>
      <c r="J37" s="19">
        <f>(D37*D$59)+(E37*E$59)+(F37*F$59)+(G37*G$59)+(H37*H$59)+(I37*I$59)</f>
        <v>400</v>
      </c>
      <c r="K37" s="15" t="str">
        <f t="shared" si="2"/>
        <v/>
      </c>
      <c r="L37" s="20">
        <v>150</v>
      </c>
      <c r="M37" s="20"/>
      <c r="N37" s="20"/>
      <c r="O37" s="20"/>
      <c r="P37" s="1"/>
      <c r="Q37" s="1"/>
      <c r="R37" s="17">
        <f>SUM(K37:Q37)</f>
        <v>150</v>
      </c>
      <c r="T37" s="14">
        <f>R37+J37</f>
        <v>550</v>
      </c>
      <c r="V37" s="28"/>
      <c r="W37" s="29"/>
      <c r="X37" s="28"/>
      <c r="Y37" s="28"/>
      <c r="Z37" s="28"/>
      <c r="AA37" s="28"/>
      <c r="AF37" s="49" t="s">
        <v>284</v>
      </c>
      <c r="AG37" s="49">
        <v>7915</v>
      </c>
      <c r="AH37" s="49">
        <v>-8325</v>
      </c>
      <c r="AI37" s="49">
        <v>-2815</v>
      </c>
      <c r="AJ37" s="49">
        <v>3225</v>
      </c>
    </row>
    <row r="38" spans="2:36" x14ac:dyDescent="0.3">
      <c r="B38" s="67"/>
      <c r="C38" s="19" t="s">
        <v>65</v>
      </c>
      <c r="D38" s="20">
        <v>20</v>
      </c>
      <c r="E38" s="1"/>
      <c r="F38" s="1">
        <v>1</v>
      </c>
      <c r="G38" s="1"/>
      <c r="H38" s="1">
        <v>3</v>
      </c>
      <c r="I38" s="1"/>
      <c r="J38" s="19">
        <f>(D38*D$59)+(E38*E$59)+(F38*F$59)+(G38*G$59)+(H38*H$59)+(I38*I$59)</f>
        <v>300</v>
      </c>
      <c r="K38" s="15" t="str">
        <f t="shared" si="2"/>
        <v/>
      </c>
      <c r="L38" s="20" t="str">
        <f t="shared" si="3"/>
        <v/>
      </c>
      <c r="M38" s="20">
        <v>100</v>
      </c>
      <c r="N38" s="20"/>
      <c r="O38" s="20"/>
      <c r="P38" s="1"/>
      <c r="Q38" s="1"/>
      <c r="R38" s="17">
        <f>SUM(K38:Q38)</f>
        <v>100</v>
      </c>
      <c r="T38" s="14">
        <f>R38+J38</f>
        <v>400</v>
      </c>
      <c r="V38" s="28"/>
      <c r="W38" s="29"/>
      <c r="X38" s="28"/>
      <c r="Y38" s="28"/>
      <c r="Z38" s="28"/>
      <c r="AA38" s="28"/>
      <c r="AF38" s="49" t="s">
        <v>308</v>
      </c>
      <c r="AG38" s="49">
        <f>X28</f>
        <v>-1750</v>
      </c>
      <c r="AH38" s="49">
        <f>Y28</f>
        <v>4045</v>
      </c>
      <c r="AI38" s="49">
        <f>Z28</f>
        <v>-1280</v>
      </c>
      <c r="AJ38" s="49">
        <f>AA28</f>
        <v>-1015</v>
      </c>
    </row>
    <row r="39" spans="2:36" ht="15" thickBot="1" x14ac:dyDescent="0.35">
      <c r="B39" s="68"/>
      <c r="C39" s="11" t="s">
        <v>241</v>
      </c>
      <c r="D39" s="12"/>
      <c r="E39" s="10">
        <v>2</v>
      </c>
      <c r="F39" s="10"/>
      <c r="G39" s="10"/>
      <c r="H39" s="10"/>
      <c r="I39" s="10"/>
      <c r="J39" s="11">
        <f>(D39*D$59)+(E39*E$59)+(F39*F$59)+(G39*G$59)+(H39*H$59)+(I39*I$59)</f>
        <v>200</v>
      </c>
      <c r="K39" s="12" t="str">
        <f t="shared" si="2"/>
        <v/>
      </c>
      <c r="L39" s="12">
        <f t="shared" si="3"/>
        <v>50</v>
      </c>
      <c r="M39" s="12"/>
      <c r="N39" s="12"/>
      <c r="O39" s="12"/>
      <c r="P39" s="10"/>
      <c r="Q39" s="10"/>
      <c r="R39" s="13">
        <f>SUM(K39:Q39)</f>
        <v>50</v>
      </c>
      <c r="T39" s="34">
        <f>R39+J39</f>
        <v>250</v>
      </c>
      <c r="V39" s="28"/>
      <c r="W39" s="29"/>
      <c r="X39" s="28"/>
      <c r="Y39" s="28"/>
      <c r="Z39" s="28"/>
      <c r="AA39" s="28"/>
      <c r="AF39" s="49" t="s">
        <v>0</v>
      </c>
      <c r="AG39" s="49">
        <f>SUM(AG33:AG38)</f>
        <v>11880</v>
      </c>
      <c r="AH39" s="49">
        <f t="shared" ref="AH39:AJ39" si="4">SUM(AH33:AH38)</f>
        <v>795</v>
      </c>
      <c r="AI39" s="49">
        <f t="shared" si="4"/>
        <v>2045</v>
      </c>
      <c r="AJ39" s="49">
        <f t="shared" si="4"/>
        <v>-14720</v>
      </c>
    </row>
    <row r="40" spans="2:36" ht="15" thickBot="1" x14ac:dyDescent="0.35">
      <c r="K40" s="2" t="s">
        <v>258</v>
      </c>
      <c r="L40" s="2" t="s">
        <v>258</v>
      </c>
      <c r="T40" s="57">
        <f>SUM(T35:T39)</f>
        <v>2310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39" t="s">
        <v>310</v>
      </c>
      <c r="D41" s="23">
        <v>49</v>
      </c>
      <c r="E41" s="6"/>
      <c r="F41" s="6"/>
      <c r="G41" s="6"/>
      <c r="H41" s="6"/>
      <c r="I41" s="6"/>
      <c r="J41" s="7">
        <f>(D41*D$59)+(E41*E$59)+(F41*F$59)+(G41*G$59)+(H41*H$59)+(I41*I$59)</f>
        <v>245</v>
      </c>
      <c r="K41" s="23">
        <f t="shared" ref="K41:K45" si="5">IF(D41&gt;=100, 250, IF(D41&gt;=50, 150, IF(D41&gt;=30, 50, "")))</f>
        <v>50</v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50</v>
      </c>
      <c r="T41" s="33">
        <f>(R41+J41)*2</f>
        <v>590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293</v>
      </c>
      <c r="D42" s="20">
        <v>16</v>
      </c>
      <c r="E42" s="1"/>
      <c r="F42" s="1"/>
      <c r="G42" s="1"/>
      <c r="H42" s="1"/>
      <c r="I42" s="1"/>
      <c r="J42" s="19">
        <f>(D42*D$59)+(E42*E$59)+(F42*F$59)+(G42*G$59)+(H42*H$59)+(I42*I$59)</f>
        <v>80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80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311</v>
      </c>
      <c r="D43" s="20">
        <v>1</v>
      </c>
      <c r="E43" s="1">
        <v>1</v>
      </c>
      <c r="F43" s="1"/>
      <c r="G43" s="1"/>
      <c r="H43" s="1"/>
      <c r="I43" s="1"/>
      <c r="J43" s="19">
        <f>(D43*D$59)+(E43*E$59)+(F43*F$59)+(G43*G$59)+(H43*H$59)+(I43*I$59)</f>
        <v>105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105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63</v>
      </c>
      <c r="D44" s="20"/>
      <c r="E44" s="1">
        <v>2</v>
      </c>
      <c r="F44" s="1"/>
      <c r="G44" s="1"/>
      <c r="H44" s="1"/>
      <c r="I44" s="1"/>
      <c r="J44" s="19">
        <f>(D44*D$59)+(E44*E$59)+(F44*F$59)+(G44*G$59)+(H44*H$59)+(I44*I$59)</f>
        <v>200</v>
      </c>
      <c r="K44" s="15" t="str">
        <f t="shared" si="5"/>
        <v/>
      </c>
      <c r="L44" s="20">
        <f t="shared" si="6"/>
        <v>50</v>
      </c>
      <c r="M44" s="20"/>
      <c r="N44" s="20"/>
      <c r="O44" s="20"/>
      <c r="P44" s="1"/>
      <c r="Q44" s="1"/>
      <c r="R44" s="17">
        <f>SUM(K44:Q44)</f>
        <v>50</v>
      </c>
      <c r="T44" s="14">
        <f>R44+J44</f>
        <v>250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80</v>
      </c>
      <c r="D45" s="12">
        <v>1</v>
      </c>
      <c r="E45" s="10"/>
      <c r="F45" s="10"/>
      <c r="G45" s="10"/>
      <c r="H45" s="10"/>
      <c r="I45" s="10"/>
      <c r="J45" s="11">
        <f>(D45*D$59)+(E45*E$59)+(F45*F$59)+(G45*G$59)+(H45*H$59)+(I45*I$59)</f>
        <v>5</v>
      </c>
      <c r="K45" s="12" t="str">
        <f t="shared" si="5"/>
        <v/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5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57">
        <f>SUM(T41:T45)</f>
        <v>1030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39" t="s">
        <v>46</v>
      </c>
      <c r="D47" s="23">
        <v>26</v>
      </c>
      <c r="E47" s="6"/>
      <c r="F47" s="6"/>
      <c r="G47" s="6"/>
      <c r="H47" s="6">
        <v>1</v>
      </c>
      <c r="I47" s="6"/>
      <c r="J47" s="7">
        <f>(D47*D$59)+(E47*E$59)+(F47*F$59)+(G47*G$59)+(H47*H$59)+(I47*I$59)</f>
        <v>180</v>
      </c>
      <c r="K47" s="23" t="str">
        <f t="shared" ref="K47:K51" si="7">IF(D47&gt;=100, 250, IF(D47&gt;=50, 150, IF(D47&gt;=30, 50, "")))</f>
        <v/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0</v>
      </c>
      <c r="T47" s="33">
        <f>(R47+J47)*2</f>
        <v>360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160</v>
      </c>
      <c r="D48" s="20">
        <v>50</v>
      </c>
      <c r="E48" s="1"/>
      <c r="F48" s="1"/>
      <c r="G48" s="1"/>
      <c r="H48" s="1"/>
      <c r="I48" s="1"/>
      <c r="J48" s="19">
        <f>(D48*D$59)+(E48*E$59)+(F48*F$59)+(G48*G$59)+(H48*H$59)+(I48*I$59)</f>
        <v>250</v>
      </c>
      <c r="K48" s="15">
        <f t="shared" si="7"/>
        <v>150</v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150</v>
      </c>
      <c r="T48" s="14">
        <f>R48+J48</f>
        <v>400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106</v>
      </c>
      <c r="D49" s="20">
        <v>0</v>
      </c>
      <c r="E49" s="1">
        <v>1</v>
      </c>
      <c r="F49" s="1"/>
      <c r="G49" s="1"/>
      <c r="H49" s="1"/>
      <c r="I49" s="1">
        <v>1</v>
      </c>
      <c r="J49" s="19">
        <f>(D49*D$59)+(E49*E$59)+(F49*F$59)+(G49*G$59)+(H49*H$59)+(I49*I$59)</f>
        <v>50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50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109</v>
      </c>
      <c r="D50" s="20">
        <v>47</v>
      </c>
      <c r="E50" s="1"/>
      <c r="F50" s="1">
        <v>1</v>
      </c>
      <c r="G50" s="1"/>
      <c r="H50" s="1">
        <v>1</v>
      </c>
      <c r="I50" s="1"/>
      <c r="J50" s="19">
        <f>(D50*D$59)+(E50*E$59)+(F50*F$59)+(G50*G$59)+(H50*H$59)+(I50*I$59)</f>
        <v>335</v>
      </c>
      <c r="K50" s="15">
        <f t="shared" si="7"/>
        <v>50</v>
      </c>
      <c r="L50" s="20" t="str">
        <f t="shared" si="8"/>
        <v/>
      </c>
      <c r="M50" s="20" t="s">
        <v>258</v>
      </c>
      <c r="N50" s="20"/>
      <c r="O50" s="20"/>
      <c r="P50" s="1"/>
      <c r="Q50" s="1"/>
      <c r="R50" s="17">
        <f>SUM(K50:Q50)</f>
        <v>50</v>
      </c>
      <c r="T50" s="14">
        <f>R50+J50</f>
        <v>385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200</v>
      </c>
      <c r="D51" s="12"/>
      <c r="E51" s="10">
        <v>1</v>
      </c>
      <c r="F51" s="10"/>
      <c r="G51" s="10"/>
      <c r="H51" s="10"/>
      <c r="I51" s="10"/>
      <c r="J51" s="11">
        <f>(D51*D$59)+(E51*E$59)+(F51*F$59)+(G51*G$59)+(H51*H$59)+(I51*I$59)</f>
        <v>100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100</v>
      </c>
      <c r="V51" s="28"/>
      <c r="W51" s="29"/>
      <c r="X51" s="28"/>
      <c r="Y51" s="28"/>
      <c r="Z51" s="28"/>
      <c r="AA51" s="28"/>
    </row>
    <row r="52" spans="2:30" ht="15" thickBot="1" x14ac:dyDescent="0.35">
      <c r="T52" s="57">
        <f>SUM(T47:T51)</f>
        <v>1295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9345</v>
      </c>
      <c r="Y60" s="42">
        <f>SUM(Y61:Y68)</f>
        <v>-4730</v>
      </c>
      <c r="Z60" s="42">
        <f>SUM(Z61:Z68)</f>
        <v>-475</v>
      </c>
      <c r="AA60" s="42">
        <f>SUM(AA61:AA68)</f>
        <v>-4140</v>
      </c>
    </row>
    <row r="61" spans="2:30" x14ac:dyDescent="0.3">
      <c r="B61" s="66" t="s">
        <v>211</v>
      </c>
      <c r="C61" s="38" t="s">
        <v>111</v>
      </c>
      <c r="D61" s="5">
        <v>24</v>
      </c>
      <c r="E61" s="6"/>
      <c r="F61" s="6"/>
      <c r="G61" s="6">
        <v>1</v>
      </c>
      <c r="H61" s="6">
        <v>1</v>
      </c>
      <c r="I61" s="6"/>
      <c r="J61" s="7">
        <f>(D61*D$59)+(E61*E$59)+(F61*F$59)+(G61*G$59)+(H61*H$59)+(I61*I$59)</f>
        <v>220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440</v>
      </c>
      <c r="V61" s="28">
        <v>1</v>
      </c>
      <c r="W61" s="29">
        <v>45764</v>
      </c>
      <c r="X61" s="28">
        <v>-5</v>
      </c>
      <c r="Y61" s="28">
        <v>-330</v>
      </c>
      <c r="Z61" s="28">
        <v>-140</v>
      </c>
      <c r="AA61" s="28">
        <v>475</v>
      </c>
    </row>
    <row r="62" spans="2:30" x14ac:dyDescent="0.3">
      <c r="B62" s="67"/>
      <c r="C62" s="4" t="s">
        <v>70</v>
      </c>
      <c r="D62" s="18">
        <v>68</v>
      </c>
      <c r="E62" s="1"/>
      <c r="F62" s="1"/>
      <c r="G62" s="1"/>
      <c r="H62" s="1"/>
      <c r="I62" s="1"/>
      <c r="J62" s="19">
        <f>(D62*D$59)+(E62*E$59)+(F62*F$59)+(G62*G$59)+(H62*H$59)+(I62*I$59)</f>
        <v>340</v>
      </c>
      <c r="K62" s="15">
        <f t="shared" ref="K62:K65" si="9">IF(D62&gt;=100, 250, IF(D62&gt;=50, 150, IF(D62&gt;=30, 50, "")))</f>
        <v>150</v>
      </c>
      <c r="L62" s="20" t="str">
        <f t="shared" ref="L62:L65" si="10">IF(E62=5, 200, IF(E62=3, 150, IF(E62=2, 50, "")))</f>
        <v/>
      </c>
      <c r="M62" s="20" t="s">
        <v>258</v>
      </c>
      <c r="N62" s="20"/>
      <c r="O62" s="20">
        <v>150</v>
      </c>
      <c r="P62" s="1"/>
      <c r="Q62" s="1"/>
      <c r="R62" s="17">
        <f>SUM(K62:Q62)</f>
        <v>300</v>
      </c>
      <c r="T62" s="14">
        <f>R62+J62</f>
        <v>640</v>
      </c>
      <c r="V62" s="28">
        <v>2</v>
      </c>
      <c r="W62" s="29">
        <v>45766</v>
      </c>
      <c r="X62" s="45">
        <v>4760</v>
      </c>
      <c r="Y62" s="45">
        <v>-1360</v>
      </c>
      <c r="Z62" s="45">
        <v>-1910</v>
      </c>
      <c r="AA62" s="45">
        <v>-1490</v>
      </c>
    </row>
    <row r="63" spans="2:30" x14ac:dyDescent="0.3">
      <c r="B63" s="67"/>
      <c r="C63" s="4" t="s">
        <v>51</v>
      </c>
      <c r="D63" s="18"/>
      <c r="E63" s="1"/>
      <c r="F63" s="1"/>
      <c r="G63" s="1"/>
      <c r="H63" s="1"/>
      <c r="I63" s="1"/>
      <c r="J63" s="19">
        <f>(D63*D$59)+(E63*E$59)+(F63*F$59)+(G63*G$59)+(H63*H$59)+(I63*I$59)</f>
        <v>0</v>
      </c>
      <c r="K63" s="15" t="str">
        <f t="shared" si="9"/>
        <v/>
      </c>
      <c r="L63" s="20" t="str">
        <f t="shared" si="10"/>
        <v/>
      </c>
      <c r="M63" s="20" t="s">
        <v>258</v>
      </c>
      <c r="N63" s="20"/>
      <c r="O63" s="20"/>
      <c r="P63" s="1"/>
      <c r="Q63" s="1"/>
      <c r="R63" s="17">
        <f>SUM(K63:Q63)</f>
        <v>0</v>
      </c>
      <c r="T63" s="14">
        <f>R63+J63</f>
        <v>0</v>
      </c>
      <c r="V63" s="28">
        <v>3</v>
      </c>
      <c r="W63" s="29">
        <v>45766</v>
      </c>
      <c r="X63" s="45">
        <v>2335</v>
      </c>
      <c r="Y63" s="45">
        <v>-1150</v>
      </c>
      <c r="Z63" s="45">
        <v>-990</v>
      </c>
      <c r="AA63" s="45">
        <v>-195</v>
      </c>
      <c r="AC63" s="50" t="s">
        <v>5</v>
      </c>
      <c r="AD63" s="50" t="s">
        <v>235</v>
      </c>
    </row>
    <row r="64" spans="2:30" x14ac:dyDescent="0.3">
      <c r="B64" s="67"/>
      <c r="C64" s="4" t="s">
        <v>26</v>
      </c>
      <c r="D64" s="18"/>
      <c r="E64" s="1"/>
      <c r="F64" s="1"/>
      <c r="G64" s="1"/>
      <c r="H64" s="1"/>
      <c r="I64" s="1"/>
      <c r="J64" s="19">
        <f>(D64*D$59)+(E64*E$59)+(F64*F$59)+(G64*G$59)+(H64*H$59)+(I64*I$59)</f>
        <v>0</v>
      </c>
      <c r="K64" s="15" t="str">
        <f t="shared" si="9"/>
        <v/>
      </c>
      <c r="L64" s="20" t="str">
        <f t="shared" si="10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44">
        <v>45767</v>
      </c>
      <c r="X64" s="45">
        <v>3155</v>
      </c>
      <c r="Y64" s="45">
        <v>-970</v>
      </c>
      <c r="Z64" s="45">
        <v>-930</v>
      </c>
      <c r="AA64" s="45">
        <v>-1255</v>
      </c>
      <c r="AC64" s="28" t="s">
        <v>211</v>
      </c>
      <c r="AD64" s="28">
        <f>T66</f>
        <v>1080</v>
      </c>
    </row>
    <row r="65" spans="2:30" ht="15" thickBot="1" x14ac:dyDescent="0.35">
      <c r="B65" s="68"/>
      <c r="C65" s="21" t="s">
        <v>181</v>
      </c>
      <c r="D65" s="9"/>
      <c r="E65" s="10"/>
      <c r="F65" s="10"/>
      <c r="G65" s="10"/>
      <c r="H65" s="10"/>
      <c r="I65" s="10"/>
      <c r="J65" s="11">
        <f>(D65*D$59)+(E65*E$59)+(F65*F$59)+(G65*G$59)+(H65*H$59)+(I65*I$59)</f>
        <v>0</v>
      </c>
      <c r="K65" s="12" t="str">
        <f t="shared" si="9"/>
        <v/>
      </c>
      <c r="L65" s="12" t="str">
        <f t="shared" si="10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0</v>
      </c>
      <c r="V65" s="28">
        <v>5</v>
      </c>
      <c r="W65" s="29">
        <v>45767</v>
      </c>
      <c r="X65" s="28">
        <f>T66-T78</f>
        <v>-900</v>
      </c>
      <c r="Y65" s="28">
        <f>T72-T78</f>
        <v>-920</v>
      </c>
      <c r="Z65" s="28">
        <f>-(X65+Y65+AA65)</f>
        <v>3495</v>
      </c>
      <c r="AA65" s="28">
        <f>T84-T78</f>
        <v>-1675</v>
      </c>
      <c r="AC65" s="28" t="s">
        <v>96</v>
      </c>
      <c r="AD65" s="28">
        <f>T72</f>
        <v>1060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1080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1980</v>
      </c>
    </row>
    <row r="67" spans="2:30" x14ac:dyDescent="0.3">
      <c r="B67" s="66" t="s">
        <v>96</v>
      </c>
      <c r="C67" s="39" t="s">
        <v>75</v>
      </c>
      <c r="D67" s="23"/>
      <c r="E67" s="6"/>
      <c r="F67" s="6"/>
      <c r="G67" s="6"/>
      <c r="H67" s="6">
        <v>1</v>
      </c>
      <c r="I67" s="6"/>
      <c r="J67" s="7">
        <f>(D67*D$59)+(E67*E$59)+(F67*F$59)+(G67*G$59)+(H67*H$59)+(I67*I$59)</f>
        <v>50</v>
      </c>
      <c r="K67" s="23" t="str">
        <f t="shared" ref="K67:K71" si="11">IF(D67&gt;=100, 250, IF(D67&gt;=50, 150, IF(D67&gt;=30, 50, "")))</f>
        <v/>
      </c>
      <c r="L67" s="23" t="str">
        <f t="shared" ref="L67:L71" si="12">IF(E67=5, 200, IF(E67=3, 150, IF(E67=2, 50, "")))</f>
        <v/>
      </c>
      <c r="M67" s="23"/>
      <c r="N67" s="23"/>
      <c r="O67" s="23"/>
      <c r="P67" s="6"/>
      <c r="Q67" s="6"/>
      <c r="R67" s="24">
        <f>SUM(K67:Q67)</f>
        <v>0</v>
      </c>
      <c r="T67" s="33">
        <f>(R67+J67)*2</f>
        <v>100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305</v>
      </c>
    </row>
    <row r="68" spans="2:30" x14ac:dyDescent="0.3">
      <c r="B68" s="67"/>
      <c r="C68" s="19" t="s">
        <v>240</v>
      </c>
      <c r="D68" s="20"/>
      <c r="E68" s="1">
        <v>2</v>
      </c>
      <c r="F68" s="1"/>
      <c r="G68" s="1"/>
      <c r="H68" s="1"/>
      <c r="I68" s="1"/>
      <c r="J68" s="19">
        <f>(D68*D$59)+(E68*E$59)+(F68*F$59)+(G68*G$59)+(H68*H$59)+(I68*I$59)</f>
        <v>200</v>
      </c>
      <c r="K68" s="15" t="str">
        <f t="shared" si="11"/>
        <v/>
      </c>
      <c r="L68" s="20">
        <f t="shared" si="12"/>
        <v>50</v>
      </c>
      <c r="M68" s="20"/>
      <c r="N68" s="20"/>
      <c r="O68" s="20"/>
      <c r="P68" s="1"/>
      <c r="Q68" s="1"/>
      <c r="R68" s="17">
        <f>SUM(K68:Q68)</f>
        <v>50</v>
      </c>
      <c r="T68" s="14">
        <f>R68+J68</f>
        <v>250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59</v>
      </c>
      <c r="D69" s="20">
        <v>53</v>
      </c>
      <c r="E69" s="1">
        <v>1</v>
      </c>
      <c r="F69" s="1"/>
      <c r="G69" s="1"/>
      <c r="H69" s="1"/>
      <c r="I69" s="1"/>
      <c r="J69" s="19">
        <f>(D69*D$59)+(E69*E$59)+(F69*F$59)+(G69*G$59)+(H69*H$59)+(I69*I$59)</f>
        <v>365</v>
      </c>
      <c r="K69" s="15">
        <f t="shared" si="11"/>
        <v>150</v>
      </c>
      <c r="L69" s="20" t="str">
        <f t="shared" si="12"/>
        <v/>
      </c>
      <c r="M69" s="20"/>
      <c r="N69" s="20"/>
      <c r="O69" s="20"/>
      <c r="P69" s="1"/>
      <c r="Q69" s="1"/>
      <c r="R69" s="17">
        <f>SUM(K69:Q69)</f>
        <v>150</v>
      </c>
      <c r="T69" s="14">
        <f>R69+J69</f>
        <v>515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276</v>
      </c>
      <c r="D70" s="20">
        <v>19</v>
      </c>
      <c r="E70" s="1"/>
      <c r="F70" s="1"/>
      <c r="G70" s="1"/>
      <c r="H70" s="1"/>
      <c r="I70" s="1"/>
      <c r="J70" s="19">
        <f>(D70*D$59)+(E70*E$59)+(F70*F$59)+(G70*G$59)+(H70*H$59)+(I70*I$59)</f>
        <v>95</v>
      </c>
      <c r="K70" s="15" t="str">
        <f t="shared" si="11"/>
        <v/>
      </c>
      <c r="L70" s="20" t="str">
        <f t="shared" si="12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95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214</v>
      </c>
      <c r="D71" s="12"/>
      <c r="E71" s="10">
        <v>1</v>
      </c>
      <c r="F71" s="10"/>
      <c r="G71" s="10"/>
      <c r="H71" s="10"/>
      <c r="I71" s="10"/>
      <c r="J71" s="11">
        <f>(D71*D$59)+(E71*E$59)+(F71*F$59)+(G71*G$59)+(H71*H$59)+(I71*I$59)</f>
        <v>100</v>
      </c>
      <c r="K71" s="12" t="str">
        <f t="shared" si="11"/>
        <v/>
      </c>
      <c r="L71" s="12" t="str">
        <f t="shared" si="12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100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1060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57</v>
      </c>
      <c r="D73" s="23">
        <v>76</v>
      </c>
      <c r="E73" s="6"/>
      <c r="F73" s="6"/>
      <c r="G73" s="6"/>
      <c r="H73" s="6"/>
      <c r="I73" s="6"/>
      <c r="J73" s="7">
        <f>(D73*D$59)+(E73*E$59)+(F73*F$59)+(G73*G$59)+(H73*H$59)+(I73*I$59)</f>
        <v>380</v>
      </c>
      <c r="K73" s="23">
        <f t="shared" ref="K73:K77" si="13">IF(D73&gt;=100, 250, IF(D73&gt;=50, 150, IF(D73&gt;=30, 50, "")))</f>
        <v>150</v>
      </c>
      <c r="L73" s="23" t="str">
        <f t="shared" ref="L73:L77" si="14">IF(E73=5, 200, IF(E73=3, 150, IF(E73=2, 50, "")))</f>
        <v/>
      </c>
      <c r="M73" s="23"/>
      <c r="N73" s="23"/>
      <c r="O73" s="23">
        <v>150</v>
      </c>
      <c r="P73" s="6"/>
      <c r="Q73" s="6"/>
      <c r="R73" s="24">
        <f>SUM(K73:Q73)</f>
        <v>300</v>
      </c>
      <c r="T73" s="33">
        <f>(R73+J73)*2</f>
        <v>1360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66</v>
      </c>
      <c r="D74" s="20">
        <v>50</v>
      </c>
      <c r="E74" s="1"/>
      <c r="F74" s="1"/>
      <c r="G74" s="1"/>
      <c r="H74" s="1"/>
      <c r="I74" s="1"/>
      <c r="J74" s="19">
        <f>(D74*D$59)+(E74*E$59)+(F74*F$59)+(G74*G$59)+(H74*H$59)+(I74*I$59)</f>
        <v>250</v>
      </c>
      <c r="K74" s="15">
        <f t="shared" si="13"/>
        <v>150</v>
      </c>
      <c r="L74" s="20" t="str">
        <f t="shared" si="14"/>
        <v/>
      </c>
      <c r="M74" s="20"/>
      <c r="N74" s="20"/>
      <c r="O74" s="20"/>
      <c r="P74" s="1"/>
      <c r="Q74" s="1"/>
      <c r="R74" s="17">
        <f>SUM(K74:Q74)</f>
        <v>150</v>
      </c>
      <c r="T74" s="14">
        <f>R74+J74</f>
        <v>400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55</v>
      </c>
      <c r="D75" s="20"/>
      <c r="E75" s="1"/>
      <c r="F75" s="1"/>
      <c r="G75" s="1"/>
      <c r="H75" s="1">
        <v>1</v>
      </c>
      <c r="I75" s="1"/>
      <c r="J75" s="19">
        <f>(D75*D$59)+(E75*E$59)+(F75*F$59)+(G75*G$59)+(H75*H$59)+(I75*I$59)</f>
        <v>50</v>
      </c>
      <c r="K75" s="15" t="str">
        <f t="shared" si="13"/>
        <v/>
      </c>
      <c r="L75" s="20" t="str">
        <f t="shared" si="14"/>
        <v/>
      </c>
      <c r="M75" s="20"/>
      <c r="N75" s="20"/>
      <c r="O75" s="20"/>
      <c r="P75" s="1"/>
      <c r="Q75" s="1"/>
      <c r="R75" s="17">
        <f>SUM(K75:Q75)</f>
        <v>0</v>
      </c>
      <c r="T75" s="14">
        <f>R75+J75</f>
        <v>50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295</v>
      </c>
      <c r="D76" s="20">
        <v>4</v>
      </c>
      <c r="E76" s="1"/>
      <c r="F76" s="1"/>
      <c r="G76" s="1"/>
      <c r="H76" s="1"/>
      <c r="I76" s="1"/>
      <c r="J76" s="19">
        <f>(D76*D$59)+(E76*E$59)+(F76*F$59)+(G76*G$59)+(H76*H$59)+(I76*I$59)</f>
        <v>20</v>
      </c>
      <c r="K76" s="15" t="str">
        <f t="shared" si="13"/>
        <v/>
      </c>
      <c r="L76" s="20" t="str">
        <f t="shared" si="14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20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88</v>
      </c>
      <c r="D77" s="12"/>
      <c r="E77" s="10">
        <v>1</v>
      </c>
      <c r="F77" s="10"/>
      <c r="G77" s="10"/>
      <c r="H77" s="10">
        <v>1</v>
      </c>
      <c r="I77" s="10"/>
      <c r="J77" s="11">
        <f>(D77*D$59)+(E77*E$59)+(F77*F$59)+(G77*G$59)+(H77*H$59)+(I77*I$59)</f>
        <v>150</v>
      </c>
      <c r="K77" s="12" t="str">
        <f t="shared" si="13"/>
        <v/>
      </c>
      <c r="L77" s="12" t="str">
        <f t="shared" si="14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150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1980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166</v>
      </c>
      <c r="D79" s="23"/>
      <c r="E79" s="6"/>
      <c r="F79" s="6"/>
      <c r="G79" s="6"/>
      <c r="H79" s="6"/>
      <c r="I79" s="6"/>
      <c r="J79" s="7">
        <f>(D79*D$59)+(E79*E$59)+(F79*F$59)+(G79*G$59)+(H79*H$59)+(I79*I$59)</f>
        <v>0</v>
      </c>
      <c r="K79" s="23" t="str">
        <f t="shared" ref="K79:K83" si="15">IF(D79&gt;=100, 250, IF(D79&gt;=50, 150, IF(D79&gt;=30, 50, "")))</f>
        <v/>
      </c>
      <c r="L79" s="23" t="str">
        <f t="shared" ref="L79:L83" si="16">IF(E79=5, 200, IF(E79=3, 150, IF(E79=2, 50, "")))</f>
        <v/>
      </c>
      <c r="M79" s="23"/>
      <c r="N79" s="23"/>
      <c r="O79" s="23"/>
      <c r="P79" s="6"/>
      <c r="Q79" s="6"/>
      <c r="R79" s="24">
        <f>SUM(K79:Q79)</f>
        <v>0</v>
      </c>
      <c r="T79" s="33">
        <f>(R79+J79)*2</f>
        <v>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36</v>
      </c>
      <c r="D80" s="20">
        <v>5</v>
      </c>
      <c r="E80" s="1"/>
      <c r="F80" s="1"/>
      <c r="G80" s="1"/>
      <c r="H80" s="1"/>
      <c r="I80" s="1"/>
      <c r="J80" s="19">
        <f>(D80*D$59)+(E80*E$59)+(F80*F$59)+(G80*G$59)+(H80*H$59)+(I80*I$59)</f>
        <v>25</v>
      </c>
      <c r="K80" s="15" t="str">
        <f t="shared" si="15"/>
        <v/>
      </c>
      <c r="L80" s="20" t="str">
        <f t="shared" si="16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25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77</v>
      </c>
      <c r="D81" s="20"/>
      <c r="E81" s="1"/>
      <c r="F81" s="1"/>
      <c r="G81" s="1"/>
      <c r="H81" s="1"/>
      <c r="I81" s="1"/>
      <c r="J81" s="19">
        <f>(D81*D$59)+(E81*E$59)+(F81*F$59)+(G81*G$59)+(H81*H$59)+(I81*I$59)</f>
        <v>0</v>
      </c>
      <c r="K81" s="15" t="str">
        <f t="shared" si="15"/>
        <v/>
      </c>
      <c r="L81" s="20" t="str">
        <f t="shared" si="16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296</v>
      </c>
      <c r="D82" s="20">
        <v>32</v>
      </c>
      <c r="E82" s="1"/>
      <c r="F82" s="1"/>
      <c r="G82" s="1"/>
      <c r="H82" s="1">
        <v>1</v>
      </c>
      <c r="I82" s="1"/>
      <c r="J82" s="19">
        <f>(D82*D$59)+(E82*E$59)+(F82*F$59)+(G82*G$59)+(H82*H$59)+(I82*I$59)</f>
        <v>210</v>
      </c>
      <c r="K82" s="15">
        <f t="shared" si="15"/>
        <v>50</v>
      </c>
      <c r="L82" s="20" t="str">
        <f t="shared" si="16"/>
        <v/>
      </c>
      <c r="M82" s="20" t="s">
        <v>258</v>
      </c>
      <c r="N82" s="20"/>
      <c r="O82" s="20"/>
      <c r="P82" s="1"/>
      <c r="Q82" s="1"/>
      <c r="R82" s="17">
        <f>SUM(K82:Q82)</f>
        <v>50</v>
      </c>
      <c r="T82" s="14">
        <f>R82+J82</f>
        <v>260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184</v>
      </c>
      <c r="D83" s="12">
        <v>4</v>
      </c>
      <c r="E83" s="10"/>
      <c r="F83" s="10"/>
      <c r="G83" s="10"/>
      <c r="H83" s="10"/>
      <c r="I83" s="10"/>
      <c r="J83" s="11">
        <f>(D83*D$59)+(E83*E$59)+(F83*F$59)+(G83*G$59)+(H83*H$59)+(I83*I$59)</f>
        <v>20</v>
      </c>
      <c r="K83" s="12" t="str">
        <f t="shared" si="15"/>
        <v/>
      </c>
      <c r="L83" s="12" t="str">
        <f t="shared" si="16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20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AJ84"/>
  <sheetViews>
    <sheetView zoomScale="90" zoomScaleNormal="90" workbookViewId="0">
      <selection activeCell="D31" sqref="D31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5</v>
      </c>
      <c r="Y28" s="42">
        <f>SUM(Y29:Y36)</f>
        <v>3695</v>
      </c>
      <c r="Z28" s="42">
        <f>SUM(Z29:Z36)</f>
        <v>-2250</v>
      </c>
      <c r="AA28" s="42">
        <f>SUM(AA29:AA36)</f>
        <v>-1450</v>
      </c>
    </row>
    <row r="29" spans="2:36" x14ac:dyDescent="0.3">
      <c r="B29" s="66" t="s">
        <v>211</v>
      </c>
      <c r="C29" s="60" t="s">
        <v>49</v>
      </c>
      <c r="D29" s="5"/>
      <c r="E29" s="6"/>
      <c r="F29" s="6"/>
      <c r="G29" s="6"/>
      <c r="H29" s="6"/>
      <c r="I29" s="6"/>
      <c r="J29" s="7">
        <f>(D29*D$59)+(E29*E$59)+(F29*F$59)+(G29*G$59)+(H29*H$59)+(I29*I$59)</f>
        <v>0</v>
      </c>
      <c r="K29" s="15" t="str">
        <f>IF(D29&gt;=100, 250, IF(D29&gt;=50, 150, IF(D29&gt;=30, 50, "")))</f>
        <v/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0</v>
      </c>
      <c r="T29" s="14">
        <f>(R29+J29)*2</f>
        <v>0</v>
      </c>
      <c r="V29" s="28">
        <v>1</v>
      </c>
      <c r="W29" s="29" t="s">
        <v>312</v>
      </c>
      <c r="X29" s="28">
        <v>-1750</v>
      </c>
      <c r="Y29" s="28">
        <v>4045</v>
      </c>
      <c r="Z29" s="28">
        <v>-1280</v>
      </c>
      <c r="AA29" s="28">
        <v>-1015</v>
      </c>
    </row>
    <row r="30" spans="2:36" x14ac:dyDescent="0.3">
      <c r="B30" s="67"/>
      <c r="C30" s="4" t="s">
        <v>134</v>
      </c>
      <c r="D30" s="18">
        <v>83</v>
      </c>
      <c r="E30" s="1"/>
      <c r="F30" s="1"/>
      <c r="G30" s="1"/>
      <c r="H30" s="1"/>
      <c r="I30" s="1"/>
      <c r="J30" s="19">
        <f>(D30*D$59)+(E30*E$59)+(F30*F$59)+(G30*G$59)+(H30*H$59)+(I30*I$59)</f>
        <v>415</v>
      </c>
      <c r="K30" s="15">
        <f t="shared" ref="K30:K33" si="0">IF(D30&gt;=100, 250, IF(D30&gt;=50, 150, IF(D30&gt;=30, 50, "")))</f>
        <v>150</v>
      </c>
      <c r="L30" s="20" t="str">
        <f t="shared" ref="L30:L33" si="1">IF(E30=5, 200, IF(E30=3, 150, IF(E30=2, 50, "")))</f>
        <v/>
      </c>
      <c r="M30" s="20" t="s">
        <v>258</v>
      </c>
      <c r="N30" s="20"/>
      <c r="O30" s="20">
        <v>150</v>
      </c>
      <c r="P30" s="1"/>
      <c r="Q30" s="1"/>
      <c r="R30" s="17">
        <f>SUM(K30:Q30)</f>
        <v>300</v>
      </c>
      <c r="T30" s="14">
        <f>R30+J30</f>
        <v>715</v>
      </c>
      <c r="V30" s="28">
        <v>2</v>
      </c>
      <c r="W30" s="29">
        <v>45772</v>
      </c>
      <c r="X30" s="45">
        <v>1755</v>
      </c>
      <c r="Y30" s="45">
        <v>-350</v>
      </c>
      <c r="Z30" s="45">
        <v>-970</v>
      </c>
      <c r="AA30" s="45">
        <v>-435</v>
      </c>
    </row>
    <row r="31" spans="2:36" x14ac:dyDescent="0.3">
      <c r="B31" s="67"/>
      <c r="C31" s="4" t="s">
        <v>278</v>
      </c>
      <c r="D31" s="18">
        <v>11</v>
      </c>
      <c r="E31" s="1"/>
      <c r="F31" s="1"/>
      <c r="G31" s="1"/>
      <c r="H31" s="1"/>
      <c r="I31" s="1"/>
      <c r="J31" s="19">
        <f>(D31*D$59)+(E31*E$59)+(F31*F$59)+(G31*G$59)+(H31*H$59)+(I31*I$59)</f>
        <v>55</v>
      </c>
      <c r="K31" s="15" t="str">
        <f t="shared" si="0"/>
        <v/>
      </c>
      <c r="L31" s="20" t="str">
        <f t="shared" si="1"/>
        <v/>
      </c>
      <c r="M31" s="20" t="s">
        <v>258</v>
      </c>
      <c r="N31" s="20"/>
      <c r="O31" s="20"/>
      <c r="P31" s="1"/>
      <c r="Q31" s="1"/>
      <c r="R31" s="17">
        <f>SUM(K31:Q31)</f>
        <v>0</v>
      </c>
      <c r="T31" s="14">
        <f>R31+J31</f>
        <v>55</v>
      </c>
      <c r="V31" s="28">
        <v>3</v>
      </c>
      <c r="W31" s="29"/>
      <c r="X31" s="45"/>
      <c r="Y31" s="45"/>
      <c r="Z31" s="45"/>
      <c r="AA31" s="45"/>
    </row>
    <row r="32" spans="2:36" x14ac:dyDescent="0.3">
      <c r="B32" s="67"/>
      <c r="C32" s="4" t="s">
        <v>131</v>
      </c>
      <c r="D32" s="18"/>
      <c r="E32" s="1"/>
      <c r="F32" s="1"/>
      <c r="G32" s="1"/>
      <c r="H32" s="1"/>
      <c r="I32" s="1"/>
      <c r="J32" s="19">
        <f>(D32*D$59)+(E32*E$59)+(F32*F$59)+(G32*G$59)+(H32*H$59)+(I32*I$59)</f>
        <v>0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0</v>
      </c>
      <c r="V32" s="28">
        <v>4</v>
      </c>
      <c r="W32" s="44"/>
      <c r="X32" s="45"/>
      <c r="Y32" s="45"/>
      <c r="Z32" s="45"/>
      <c r="AA32" s="45"/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244</v>
      </c>
      <c r="D33" s="9"/>
      <c r="E33" s="10">
        <v>2</v>
      </c>
      <c r="F33" s="10"/>
      <c r="G33" s="10"/>
      <c r="H33" s="10">
        <v>1</v>
      </c>
      <c r="I33" s="10"/>
      <c r="J33" s="11">
        <f>(D33*D$59)+(E33*E$59)+(F33*F$59)+(G33*G$59)+(H33*H$59)+(I33*I$59)</f>
        <v>250</v>
      </c>
      <c r="K33" s="12" t="str">
        <f t="shared" si="0"/>
        <v/>
      </c>
      <c r="L33" s="12">
        <f t="shared" si="1"/>
        <v>50</v>
      </c>
      <c r="M33" s="12" t="s">
        <v>258</v>
      </c>
      <c r="N33" s="12"/>
      <c r="O33" s="12"/>
      <c r="P33" s="10"/>
      <c r="Q33" s="10"/>
      <c r="R33" s="13">
        <f>SUM(K33:Q33)</f>
        <v>50</v>
      </c>
      <c r="T33" s="22">
        <f>(R33+J33)</f>
        <v>300</v>
      </c>
      <c r="V33" s="28">
        <v>5</v>
      </c>
      <c r="W33" s="29"/>
      <c r="X33" s="28"/>
      <c r="Y33" s="28"/>
      <c r="Z33" s="28"/>
      <c r="AA33" s="28"/>
      <c r="AC33" s="28" t="s">
        <v>211</v>
      </c>
      <c r="AD33" s="28">
        <f>T34</f>
        <v>1070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62">
        <f>SUM(T29:T33)</f>
        <v>1070</v>
      </c>
      <c r="V34" s="28">
        <v>6</v>
      </c>
      <c r="W34" s="29"/>
      <c r="X34" s="28"/>
      <c r="Y34" s="28"/>
      <c r="Z34" s="28"/>
      <c r="AA34" s="28"/>
      <c r="AC34" s="28" t="s">
        <v>96</v>
      </c>
      <c r="AD34" s="28">
        <f>T40</f>
        <v>150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61" t="s">
        <v>25</v>
      </c>
      <c r="D35" s="23"/>
      <c r="E35" s="6"/>
      <c r="F35" s="6"/>
      <c r="G35" s="6"/>
      <c r="H35" s="6"/>
      <c r="I35" s="6"/>
      <c r="J35" s="7">
        <f>(D35*D$59)+(E35*E$59)+(F35*F$59)+(G35*G$59)+(H35*H$59)+(I35*I$59)</f>
        <v>0</v>
      </c>
      <c r="K35" s="23" t="str">
        <f t="shared" ref="K35:K39" si="2">IF(D35&gt;=100, 250, IF(D35&gt;=50, 150, IF(D35&gt;=30, 50, "")))</f>
        <v/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0</v>
      </c>
      <c r="T35" s="33">
        <f>(R35+J35)*2</f>
        <v>0</v>
      </c>
      <c r="V35" s="28">
        <v>7</v>
      </c>
      <c r="W35" s="29"/>
      <c r="X35" s="28"/>
      <c r="Y35" s="28"/>
      <c r="Z35" s="28"/>
      <c r="AA35" s="28"/>
      <c r="AC35" s="28" t="s">
        <v>97</v>
      </c>
      <c r="AD35" s="28">
        <f>T46</f>
        <v>895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128</v>
      </c>
      <c r="D36" s="20"/>
      <c r="E36" s="1"/>
      <c r="F36" s="1"/>
      <c r="G36" s="1"/>
      <c r="H36" s="1"/>
      <c r="I36" s="1"/>
      <c r="J36" s="19">
        <f>(D36*D$59)+(E36*E$59)+(F36*F$59)+(G36*G$59)+(H36*H$59)+(I36*I$59)</f>
        <v>0</v>
      </c>
      <c r="K36" s="15" t="str">
        <f t="shared" si="2"/>
        <v/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0</v>
      </c>
      <c r="T36" s="14">
        <f>R36+J36</f>
        <v>0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0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145</v>
      </c>
      <c r="D37" s="20"/>
      <c r="E37" s="1">
        <v>1</v>
      </c>
      <c r="F37" s="1"/>
      <c r="G37" s="1"/>
      <c r="H37" s="1"/>
      <c r="I37" s="1"/>
      <c r="J37" s="19">
        <f>(D37*D$59)+(E37*E$59)+(F37*F$59)+(G37*G$59)+(H37*H$59)+(I37*I$59)</f>
        <v>100</v>
      </c>
      <c r="K37" s="15" t="str">
        <f t="shared" si="2"/>
        <v/>
      </c>
      <c r="L37" s="20" t="str">
        <f t="shared" ref="L37:L38" si="4">IF(E37=5, 200, IF(E37=3, 150, IF(E37=2, 50, "")))</f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100</v>
      </c>
      <c r="V37" s="28"/>
      <c r="W37" s="29"/>
      <c r="X37" s="28"/>
      <c r="Y37" s="28"/>
      <c r="Z37" s="28"/>
      <c r="AA37" s="28"/>
      <c r="AF37" s="49" t="s">
        <v>284</v>
      </c>
      <c r="AG37" s="49">
        <v>7915</v>
      </c>
      <c r="AH37" s="49">
        <v>-8325</v>
      </c>
      <c r="AI37" s="49">
        <v>-2815</v>
      </c>
      <c r="AJ37" s="49">
        <v>3225</v>
      </c>
    </row>
    <row r="38" spans="2:36" x14ac:dyDescent="0.3">
      <c r="B38" s="67"/>
      <c r="C38" s="19" t="s">
        <v>315</v>
      </c>
      <c r="D38" s="20"/>
      <c r="E38" s="1"/>
      <c r="F38" s="1"/>
      <c r="G38" s="1"/>
      <c r="H38" s="1"/>
      <c r="I38" s="1"/>
      <c r="J38" s="19">
        <f>(D38*D$59)+(E38*E$59)+(F38*F$59)+(G38*G$59)+(H38*H$59)+(I38*I$59)</f>
        <v>0</v>
      </c>
      <c r="K38" s="15" t="str">
        <f t="shared" si="2"/>
        <v/>
      </c>
      <c r="L38" s="20" t="str">
        <f t="shared" si="4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0</v>
      </c>
      <c r="V38" s="28"/>
      <c r="W38" s="29"/>
      <c r="X38" s="28"/>
      <c r="Y38" s="28"/>
      <c r="Z38" s="28"/>
      <c r="AA38" s="28"/>
      <c r="AF38" s="49" t="s">
        <v>308</v>
      </c>
      <c r="AG38" s="49">
        <f>X28</f>
        <v>5</v>
      </c>
      <c r="AH38" s="49">
        <f>Y28</f>
        <v>3695</v>
      </c>
      <c r="AI38" s="49">
        <f>Z28</f>
        <v>-2250</v>
      </c>
      <c r="AJ38" s="49">
        <f>AA28</f>
        <v>-1450</v>
      </c>
    </row>
    <row r="39" spans="2:36" ht="15" thickBot="1" x14ac:dyDescent="0.35">
      <c r="B39" s="68"/>
      <c r="C39" s="11" t="s">
        <v>50</v>
      </c>
      <c r="D39" s="12"/>
      <c r="E39" s="10"/>
      <c r="F39" s="10"/>
      <c r="G39" s="10"/>
      <c r="H39" s="10">
        <v>1</v>
      </c>
      <c r="I39" s="10"/>
      <c r="J39" s="11">
        <f>(D39*D$59)+(E39*E$59)+(F39*F$59)+(G39*G$59)+(H39*H$59)+(I39*I$59)</f>
        <v>50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50</v>
      </c>
      <c r="V39" s="28"/>
      <c r="W39" s="29"/>
      <c r="X39" s="28"/>
      <c r="Y39" s="28"/>
      <c r="Z39" s="28"/>
      <c r="AA39" s="28"/>
      <c r="AF39" s="49" t="s">
        <v>0</v>
      </c>
      <c r="AG39" s="49">
        <f>SUM(AG33:AG38)</f>
        <v>13635</v>
      </c>
      <c r="AH39" s="49">
        <f t="shared" ref="AH39:AJ39" si="5">SUM(AH33:AH38)</f>
        <v>445</v>
      </c>
      <c r="AI39" s="49">
        <f t="shared" si="5"/>
        <v>1075</v>
      </c>
      <c r="AJ39" s="49">
        <f t="shared" si="5"/>
        <v>-15155</v>
      </c>
    </row>
    <row r="40" spans="2:36" ht="15" thickBot="1" x14ac:dyDescent="0.35">
      <c r="K40" s="2" t="s">
        <v>258</v>
      </c>
      <c r="L40" s="2" t="s">
        <v>258</v>
      </c>
      <c r="T40" s="62">
        <f>SUM(T35:T39)</f>
        <v>150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61" t="s">
        <v>313</v>
      </c>
      <c r="D41" s="23">
        <v>25</v>
      </c>
      <c r="E41" s="6"/>
      <c r="F41" s="6"/>
      <c r="G41" s="6"/>
      <c r="H41" s="6"/>
      <c r="I41" s="6"/>
      <c r="J41" s="7">
        <f>(D41*D$59)+(E41*E$59)+(F41*F$59)+(G41*G$59)+(H41*H$59)+(I41*I$59)</f>
        <v>125</v>
      </c>
      <c r="K41" s="23" t="str">
        <f t="shared" ref="K41:K45" si="6">IF(D41&gt;=100, 250, IF(D41&gt;=50, 150, IF(D41&gt;=30, 50, "")))</f>
        <v/>
      </c>
      <c r="L41" s="23" t="str">
        <f t="shared" ref="L41:L45" si="7">IF(E41=5, 200, IF(E41=3, 150, IF(E41=2, 50, "")))</f>
        <v/>
      </c>
      <c r="M41" s="23"/>
      <c r="N41" s="23"/>
      <c r="O41" s="23"/>
      <c r="P41" s="6"/>
      <c r="Q41" s="6"/>
      <c r="R41" s="24">
        <f>SUM(K41:Q41)</f>
        <v>0</v>
      </c>
      <c r="T41" s="33">
        <f>(R41+J41)*2</f>
        <v>250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314</v>
      </c>
      <c r="D42" s="20">
        <v>69</v>
      </c>
      <c r="E42" s="1"/>
      <c r="F42" s="1"/>
      <c r="G42" s="1"/>
      <c r="H42" s="1"/>
      <c r="I42" s="1"/>
      <c r="J42" s="19">
        <f>(D42*D$59)+(E42*E$59)+(F42*F$59)+(G42*G$59)+(H42*H$59)+(I42*I$59)</f>
        <v>345</v>
      </c>
      <c r="K42" s="15">
        <f t="shared" si="6"/>
        <v>150</v>
      </c>
      <c r="L42" s="20" t="str">
        <f t="shared" si="7"/>
        <v/>
      </c>
      <c r="M42" s="20"/>
      <c r="N42" s="20"/>
      <c r="O42" s="20"/>
      <c r="P42" s="1"/>
      <c r="Q42" s="1"/>
      <c r="R42" s="17">
        <f>SUM(K42:Q42)</f>
        <v>150</v>
      </c>
      <c r="T42" s="14">
        <f>R42+J42</f>
        <v>495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226</v>
      </c>
      <c r="D43" s="20">
        <v>7</v>
      </c>
      <c r="E43" s="1"/>
      <c r="F43" s="1"/>
      <c r="G43" s="1"/>
      <c r="H43" s="1"/>
      <c r="I43" s="1"/>
      <c r="J43" s="19">
        <f>(D43*D$59)+(E43*E$59)+(F43*F$59)+(G43*G$59)+(H43*H$59)+(I43*I$59)</f>
        <v>35</v>
      </c>
      <c r="K43" s="15" t="str">
        <f t="shared" si="6"/>
        <v/>
      </c>
      <c r="L43" s="20" t="str">
        <f t="shared" si="7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35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64</v>
      </c>
      <c r="D44" s="20"/>
      <c r="E44" s="1">
        <v>1</v>
      </c>
      <c r="F44" s="1"/>
      <c r="G44" s="1"/>
      <c r="H44" s="1"/>
      <c r="I44" s="1"/>
      <c r="J44" s="19">
        <f>(D44*D$59)+(E44*E$59)+(F44*F$59)+(G44*G$59)+(H44*H$59)+(I44*I$59)</f>
        <v>100</v>
      </c>
      <c r="K44" s="15" t="str">
        <f t="shared" si="6"/>
        <v/>
      </c>
      <c r="L44" s="20" t="str">
        <f t="shared" si="7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100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123</v>
      </c>
      <c r="D45" s="12">
        <v>3</v>
      </c>
      <c r="E45" s="10"/>
      <c r="F45" s="10"/>
      <c r="G45" s="10"/>
      <c r="H45" s="10"/>
      <c r="I45" s="10"/>
      <c r="J45" s="11">
        <f>(D45*D$59)+(E45*E$59)+(F45*F$59)+(G45*G$59)+(H45*H$59)+(I45*I$59)</f>
        <v>15</v>
      </c>
      <c r="K45" s="12" t="str">
        <f t="shared" si="6"/>
        <v/>
      </c>
      <c r="L45" s="12" t="str">
        <f t="shared" si="7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15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62">
        <f>SUM(T41:T45)</f>
        <v>895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61" t="s">
        <v>297</v>
      </c>
      <c r="D47" s="23"/>
      <c r="E47" s="6"/>
      <c r="F47" s="6"/>
      <c r="G47" s="6"/>
      <c r="H47" s="6"/>
      <c r="I47" s="6"/>
      <c r="J47" s="7">
        <f>(D47*D$59)+(E47*E$59)+(F47*F$59)+(G47*G$59)+(H47*H$59)+(I47*I$59)</f>
        <v>0</v>
      </c>
      <c r="K47" s="23" t="str">
        <f t="shared" ref="K47:K51" si="8">IF(D47&gt;=100, 250, IF(D47&gt;=50, 150, IF(D47&gt;=30, 50, "")))</f>
        <v/>
      </c>
      <c r="L47" s="23" t="str">
        <f t="shared" ref="L47:L51" si="9">IF(E47=5, 200, IF(E47=3, 150, IF(E47=2, 50, "")))</f>
        <v/>
      </c>
      <c r="M47" s="23"/>
      <c r="N47" s="23"/>
      <c r="O47" s="23"/>
      <c r="P47" s="6"/>
      <c r="Q47" s="6"/>
      <c r="R47" s="24">
        <f>SUM(K47:Q47)</f>
        <v>0</v>
      </c>
      <c r="T47" s="33">
        <f>(R47+J47)*2</f>
        <v>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225</v>
      </c>
      <c r="D48" s="20"/>
      <c r="E48" s="1"/>
      <c r="F48" s="1"/>
      <c r="G48" s="1"/>
      <c r="H48" s="1"/>
      <c r="I48" s="1"/>
      <c r="J48" s="19">
        <f>(D48*D$59)+(E48*E$59)+(F48*F$59)+(G48*G$59)+(H48*H$59)+(I48*I$59)</f>
        <v>0</v>
      </c>
      <c r="K48" s="15" t="str">
        <f t="shared" si="8"/>
        <v/>
      </c>
      <c r="L48" s="20" t="str">
        <f t="shared" si="9"/>
        <v/>
      </c>
      <c r="M48" s="20"/>
      <c r="N48" s="20"/>
      <c r="O48" s="20"/>
      <c r="P48" s="1"/>
      <c r="Q48" s="1"/>
      <c r="R48" s="17">
        <f>SUM(K48:Q48)</f>
        <v>0</v>
      </c>
      <c r="T48" s="14">
        <f>R48+J48</f>
        <v>0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127</v>
      </c>
      <c r="D49" s="20"/>
      <c r="E49" s="1"/>
      <c r="F49" s="1"/>
      <c r="G49" s="1"/>
      <c r="H49" s="1"/>
      <c r="I49" s="1"/>
      <c r="J49" s="19">
        <f>(D49*D$59)+(E49*E$59)+(F49*F$59)+(G49*G$59)+(H49*H$59)+(I49*I$59)</f>
        <v>0</v>
      </c>
      <c r="K49" s="15" t="str">
        <f t="shared" si="8"/>
        <v/>
      </c>
      <c r="L49" s="20" t="str">
        <f t="shared" si="9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205</v>
      </c>
      <c r="D50" s="20"/>
      <c r="E50" s="1"/>
      <c r="F50" s="1"/>
      <c r="G50" s="1"/>
      <c r="H50" s="1"/>
      <c r="I50" s="1"/>
      <c r="J50" s="19">
        <f>(D50*D$59)+(E50*E$59)+(F50*F$59)+(G50*G$59)+(H50*H$59)+(I50*I$59)</f>
        <v>0</v>
      </c>
      <c r="K50" s="15" t="str">
        <f t="shared" si="8"/>
        <v/>
      </c>
      <c r="L50" s="20" t="str">
        <f t="shared" si="9"/>
        <v/>
      </c>
      <c r="M50" s="20" t="s">
        <v>258</v>
      </c>
      <c r="N50" s="20"/>
      <c r="O50" s="20"/>
      <c r="P50" s="1"/>
      <c r="Q50" s="1"/>
      <c r="R50" s="17">
        <f>SUM(K50:Q50)</f>
        <v>0</v>
      </c>
      <c r="T50" s="14">
        <f>R50+J50</f>
        <v>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69</v>
      </c>
      <c r="D51" s="12"/>
      <c r="E51" s="10"/>
      <c r="F51" s="10"/>
      <c r="G51" s="10"/>
      <c r="H51" s="10"/>
      <c r="I51" s="10"/>
      <c r="J51" s="11">
        <f>(D51*D$59)+(E51*E$59)+(F51*F$59)+(G51*G$59)+(H51*H$59)+(I51*I$59)</f>
        <v>0</v>
      </c>
      <c r="K51" s="12" t="str">
        <f t="shared" si="8"/>
        <v/>
      </c>
      <c r="L51" s="12" t="str">
        <f t="shared" si="9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0</v>
      </c>
      <c r="V51" s="28"/>
      <c r="W51" s="29"/>
      <c r="X51" s="28"/>
      <c r="Y51" s="28"/>
      <c r="Z51" s="28"/>
      <c r="AA51" s="28"/>
    </row>
    <row r="52" spans="2:30" ht="15" thickBot="1" x14ac:dyDescent="0.35">
      <c r="T52" s="62">
        <f>SUM(T47:T51)</f>
        <v>0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9345</v>
      </c>
      <c r="Y60" s="42">
        <f>SUM(Y61:Y68)</f>
        <v>-4730</v>
      </c>
      <c r="Z60" s="42">
        <f>SUM(Z61:Z68)</f>
        <v>-475</v>
      </c>
      <c r="AA60" s="42">
        <f>SUM(AA61:AA68)</f>
        <v>-4140</v>
      </c>
    </row>
    <row r="61" spans="2:30" x14ac:dyDescent="0.3">
      <c r="B61" s="66" t="s">
        <v>211</v>
      </c>
      <c r="C61" s="38" t="s">
        <v>111</v>
      </c>
      <c r="D61" s="5">
        <v>24</v>
      </c>
      <c r="E61" s="6"/>
      <c r="F61" s="6"/>
      <c r="G61" s="6">
        <v>1</v>
      </c>
      <c r="H61" s="6">
        <v>1</v>
      </c>
      <c r="I61" s="6"/>
      <c r="J61" s="7">
        <f>(D61*D$59)+(E61*E$59)+(F61*F$59)+(G61*G$59)+(H61*H$59)+(I61*I$59)</f>
        <v>220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440</v>
      </c>
      <c r="V61" s="28">
        <v>1</v>
      </c>
      <c r="W61" s="29">
        <v>45764</v>
      </c>
      <c r="X61" s="28">
        <v>-5</v>
      </c>
      <c r="Y61" s="28">
        <v>-330</v>
      </c>
      <c r="Z61" s="28">
        <v>-140</v>
      </c>
      <c r="AA61" s="28">
        <v>475</v>
      </c>
    </row>
    <row r="62" spans="2:30" x14ac:dyDescent="0.3">
      <c r="B62" s="67"/>
      <c r="C62" s="4" t="s">
        <v>70</v>
      </c>
      <c r="D62" s="18">
        <v>68</v>
      </c>
      <c r="E62" s="1"/>
      <c r="F62" s="1"/>
      <c r="G62" s="1"/>
      <c r="H62" s="1"/>
      <c r="I62" s="1"/>
      <c r="J62" s="19">
        <f>(D62*D$59)+(E62*E$59)+(F62*F$59)+(G62*G$59)+(H62*H$59)+(I62*I$59)</f>
        <v>340</v>
      </c>
      <c r="K62" s="15">
        <f t="shared" ref="K62:K65" si="10">IF(D62&gt;=100, 250, IF(D62&gt;=50, 150, IF(D62&gt;=30, 50, "")))</f>
        <v>150</v>
      </c>
      <c r="L62" s="20" t="str">
        <f t="shared" ref="L62:L65" si="11">IF(E62=5, 200, IF(E62=3, 150, IF(E62=2, 50, "")))</f>
        <v/>
      </c>
      <c r="M62" s="20" t="s">
        <v>258</v>
      </c>
      <c r="N62" s="20"/>
      <c r="O62" s="20">
        <v>150</v>
      </c>
      <c r="P62" s="1"/>
      <c r="Q62" s="1"/>
      <c r="R62" s="17">
        <f>SUM(K62:Q62)</f>
        <v>300</v>
      </c>
      <c r="T62" s="14">
        <f>R62+J62</f>
        <v>640</v>
      </c>
      <c r="V62" s="28">
        <v>2</v>
      </c>
      <c r="W62" s="29">
        <v>45766</v>
      </c>
      <c r="X62" s="45">
        <v>4760</v>
      </c>
      <c r="Y62" s="45">
        <v>-1360</v>
      </c>
      <c r="Z62" s="45">
        <v>-1910</v>
      </c>
      <c r="AA62" s="45">
        <v>-1490</v>
      </c>
    </row>
    <row r="63" spans="2:30" x14ac:dyDescent="0.3">
      <c r="B63" s="67"/>
      <c r="C63" s="4" t="s">
        <v>51</v>
      </c>
      <c r="D63" s="18"/>
      <c r="E63" s="1"/>
      <c r="F63" s="1"/>
      <c r="G63" s="1"/>
      <c r="H63" s="1"/>
      <c r="I63" s="1"/>
      <c r="J63" s="19">
        <f>(D63*D$59)+(E63*E$59)+(F63*F$59)+(G63*G$59)+(H63*H$59)+(I63*I$59)</f>
        <v>0</v>
      </c>
      <c r="K63" s="15" t="str">
        <f t="shared" si="10"/>
        <v/>
      </c>
      <c r="L63" s="20" t="str">
        <f t="shared" si="11"/>
        <v/>
      </c>
      <c r="M63" s="20" t="s">
        <v>258</v>
      </c>
      <c r="N63" s="20"/>
      <c r="O63" s="20"/>
      <c r="P63" s="1"/>
      <c r="Q63" s="1"/>
      <c r="R63" s="17">
        <f>SUM(K63:Q63)</f>
        <v>0</v>
      </c>
      <c r="T63" s="14">
        <f>R63+J63</f>
        <v>0</v>
      </c>
      <c r="V63" s="28">
        <v>3</v>
      </c>
      <c r="W63" s="29">
        <v>45766</v>
      </c>
      <c r="X63" s="45">
        <v>2335</v>
      </c>
      <c r="Y63" s="45">
        <v>-1150</v>
      </c>
      <c r="Z63" s="45">
        <v>-990</v>
      </c>
      <c r="AA63" s="45">
        <v>-195</v>
      </c>
      <c r="AC63" s="50" t="s">
        <v>5</v>
      </c>
      <c r="AD63" s="50" t="s">
        <v>235</v>
      </c>
    </row>
    <row r="64" spans="2:30" x14ac:dyDescent="0.3">
      <c r="B64" s="67"/>
      <c r="C64" s="4" t="s">
        <v>26</v>
      </c>
      <c r="D64" s="18"/>
      <c r="E64" s="1"/>
      <c r="F64" s="1"/>
      <c r="G64" s="1"/>
      <c r="H64" s="1"/>
      <c r="I64" s="1"/>
      <c r="J64" s="19">
        <f>(D64*D$59)+(E64*E$59)+(F64*F$59)+(G64*G$59)+(H64*H$59)+(I64*I$59)</f>
        <v>0</v>
      </c>
      <c r="K64" s="15" t="str">
        <f t="shared" si="10"/>
        <v/>
      </c>
      <c r="L64" s="20" t="str">
        <f t="shared" si="11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44">
        <v>45767</v>
      </c>
      <c r="X64" s="45">
        <v>3155</v>
      </c>
      <c r="Y64" s="45">
        <v>-970</v>
      </c>
      <c r="Z64" s="45">
        <v>-930</v>
      </c>
      <c r="AA64" s="45">
        <v>-1255</v>
      </c>
      <c r="AC64" s="28" t="s">
        <v>211</v>
      </c>
      <c r="AD64" s="28">
        <f>T66</f>
        <v>1080</v>
      </c>
    </row>
    <row r="65" spans="2:30" ht="15" thickBot="1" x14ac:dyDescent="0.35">
      <c r="B65" s="68"/>
      <c r="C65" s="21" t="s">
        <v>181</v>
      </c>
      <c r="D65" s="9"/>
      <c r="E65" s="10"/>
      <c r="F65" s="10"/>
      <c r="G65" s="10"/>
      <c r="H65" s="10"/>
      <c r="I65" s="10"/>
      <c r="J65" s="11">
        <f>(D65*D$59)+(E65*E$59)+(F65*F$59)+(G65*G$59)+(H65*H$59)+(I65*I$59)</f>
        <v>0</v>
      </c>
      <c r="K65" s="12" t="str">
        <f t="shared" si="10"/>
        <v/>
      </c>
      <c r="L65" s="12" t="str">
        <f t="shared" si="11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0</v>
      </c>
      <c r="V65" s="28">
        <v>5</v>
      </c>
      <c r="W65" s="29">
        <v>45767</v>
      </c>
      <c r="X65" s="28">
        <f>T66-T78</f>
        <v>-900</v>
      </c>
      <c r="Y65" s="28">
        <f>T72-T78</f>
        <v>-920</v>
      </c>
      <c r="Z65" s="28">
        <f>-(X65+Y65+AA65)</f>
        <v>3495</v>
      </c>
      <c r="AA65" s="28">
        <f>T84-T78</f>
        <v>-1675</v>
      </c>
      <c r="AC65" s="28" t="s">
        <v>96</v>
      </c>
      <c r="AD65" s="28">
        <f>T72</f>
        <v>1060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1080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1980</v>
      </c>
    </row>
    <row r="67" spans="2:30" x14ac:dyDescent="0.3">
      <c r="B67" s="66" t="s">
        <v>96</v>
      </c>
      <c r="C67" s="39" t="s">
        <v>75</v>
      </c>
      <c r="D67" s="23"/>
      <c r="E67" s="6"/>
      <c r="F67" s="6"/>
      <c r="G67" s="6"/>
      <c r="H67" s="6">
        <v>1</v>
      </c>
      <c r="I67" s="6"/>
      <c r="J67" s="7">
        <f>(D67*D$59)+(E67*E$59)+(F67*F$59)+(G67*G$59)+(H67*H$59)+(I67*I$59)</f>
        <v>50</v>
      </c>
      <c r="K67" s="23" t="str">
        <f t="shared" ref="K67:K71" si="12">IF(D67&gt;=100, 250, IF(D67&gt;=50, 150, IF(D67&gt;=30, 50, "")))</f>
        <v/>
      </c>
      <c r="L67" s="23" t="str">
        <f t="shared" ref="L67:L71" si="13">IF(E67=5, 200, IF(E67=3, 150, IF(E67=2, 50, "")))</f>
        <v/>
      </c>
      <c r="M67" s="23"/>
      <c r="N67" s="23"/>
      <c r="O67" s="23"/>
      <c r="P67" s="6"/>
      <c r="Q67" s="6"/>
      <c r="R67" s="24">
        <f>SUM(K67:Q67)</f>
        <v>0</v>
      </c>
      <c r="T67" s="33">
        <f>(R67+J67)*2</f>
        <v>100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305</v>
      </c>
    </row>
    <row r="68" spans="2:30" x14ac:dyDescent="0.3">
      <c r="B68" s="67"/>
      <c r="C68" s="19" t="s">
        <v>240</v>
      </c>
      <c r="D68" s="20"/>
      <c r="E68" s="1">
        <v>2</v>
      </c>
      <c r="F68" s="1"/>
      <c r="G68" s="1"/>
      <c r="H68" s="1"/>
      <c r="I68" s="1"/>
      <c r="J68" s="19">
        <f>(D68*D$59)+(E68*E$59)+(F68*F$59)+(G68*G$59)+(H68*H$59)+(I68*I$59)</f>
        <v>200</v>
      </c>
      <c r="K68" s="15" t="str">
        <f t="shared" si="12"/>
        <v/>
      </c>
      <c r="L68" s="20">
        <f t="shared" si="13"/>
        <v>50</v>
      </c>
      <c r="M68" s="20"/>
      <c r="N68" s="20"/>
      <c r="O68" s="20"/>
      <c r="P68" s="1"/>
      <c r="Q68" s="1"/>
      <c r="R68" s="17">
        <f>SUM(K68:Q68)</f>
        <v>50</v>
      </c>
      <c r="T68" s="14">
        <f>R68+J68</f>
        <v>250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59</v>
      </c>
      <c r="D69" s="20">
        <v>53</v>
      </c>
      <c r="E69" s="1">
        <v>1</v>
      </c>
      <c r="F69" s="1"/>
      <c r="G69" s="1"/>
      <c r="H69" s="1"/>
      <c r="I69" s="1"/>
      <c r="J69" s="19">
        <f>(D69*D$59)+(E69*E$59)+(F69*F$59)+(G69*G$59)+(H69*H$59)+(I69*I$59)</f>
        <v>365</v>
      </c>
      <c r="K69" s="15">
        <f t="shared" si="12"/>
        <v>150</v>
      </c>
      <c r="L69" s="20" t="str">
        <f t="shared" si="13"/>
        <v/>
      </c>
      <c r="M69" s="20"/>
      <c r="N69" s="20"/>
      <c r="O69" s="20"/>
      <c r="P69" s="1"/>
      <c r="Q69" s="1"/>
      <c r="R69" s="17">
        <f>SUM(K69:Q69)</f>
        <v>150</v>
      </c>
      <c r="T69" s="14">
        <f>R69+J69</f>
        <v>515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276</v>
      </c>
      <c r="D70" s="20">
        <v>19</v>
      </c>
      <c r="E70" s="1"/>
      <c r="F70" s="1"/>
      <c r="G70" s="1"/>
      <c r="H70" s="1"/>
      <c r="I70" s="1"/>
      <c r="J70" s="19">
        <f>(D70*D$59)+(E70*E$59)+(F70*F$59)+(G70*G$59)+(H70*H$59)+(I70*I$59)</f>
        <v>95</v>
      </c>
      <c r="K70" s="15" t="str">
        <f t="shared" si="12"/>
        <v/>
      </c>
      <c r="L70" s="20" t="str">
        <f t="shared" si="13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95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214</v>
      </c>
      <c r="D71" s="12"/>
      <c r="E71" s="10">
        <v>1</v>
      </c>
      <c r="F71" s="10"/>
      <c r="G71" s="10"/>
      <c r="H71" s="10"/>
      <c r="I71" s="10"/>
      <c r="J71" s="11">
        <f>(D71*D$59)+(E71*E$59)+(F71*F$59)+(G71*G$59)+(H71*H$59)+(I71*I$59)</f>
        <v>100</v>
      </c>
      <c r="K71" s="12" t="str">
        <f t="shared" si="12"/>
        <v/>
      </c>
      <c r="L71" s="12" t="str">
        <f t="shared" si="13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100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1060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57</v>
      </c>
      <c r="D73" s="23">
        <v>76</v>
      </c>
      <c r="E73" s="6"/>
      <c r="F73" s="6"/>
      <c r="G73" s="6"/>
      <c r="H73" s="6"/>
      <c r="I73" s="6"/>
      <c r="J73" s="7">
        <f>(D73*D$59)+(E73*E$59)+(F73*F$59)+(G73*G$59)+(H73*H$59)+(I73*I$59)</f>
        <v>380</v>
      </c>
      <c r="K73" s="23">
        <f t="shared" ref="K73:K77" si="14">IF(D73&gt;=100, 250, IF(D73&gt;=50, 150, IF(D73&gt;=30, 50, "")))</f>
        <v>150</v>
      </c>
      <c r="L73" s="23" t="str">
        <f t="shared" ref="L73:L77" si="15">IF(E73=5, 200, IF(E73=3, 150, IF(E73=2, 50, "")))</f>
        <v/>
      </c>
      <c r="M73" s="23"/>
      <c r="N73" s="23"/>
      <c r="O73" s="23">
        <v>150</v>
      </c>
      <c r="P73" s="6"/>
      <c r="Q73" s="6"/>
      <c r="R73" s="24">
        <f>SUM(K73:Q73)</f>
        <v>300</v>
      </c>
      <c r="T73" s="33">
        <f>(R73+J73)*2</f>
        <v>1360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66</v>
      </c>
      <c r="D74" s="20">
        <v>50</v>
      </c>
      <c r="E74" s="1"/>
      <c r="F74" s="1"/>
      <c r="G74" s="1"/>
      <c r="H74" s="1"/>
      <c r="I74" s="1"/>
      <c r="J74" s="19">
        <f>(D74*D$59)+(E74*E$59)+(F74*F$59)+(G74*G$59)+(H74*H$59)+(I74*I$59)</f>
        <v>250</v>
      </c>
      <c r="K74" s="15">
        <f t="shared" si="14"/>
        <v>150</v>
      </c>
      <c r="L74" s="20" t="str">
        <f t="shared" si="15"/>
        <v/>
      </c>
      <c r="M74" s="20"/>
      <c r="N74" s="20"/>
      <c r="O74" s="20"/>
      <c r="P74" s="1"/>
      <c r="Q74" s="1"/>
      <c r="R74" s="17">
        <f>SUM(K74:Q74)</f>
        <v>150</v>
      </c>
      <c r="T74" s="14">
        <f>R74+J74</f>
        <v>400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55</v>
      </c>
      <c r="D75" s="20"/>
      <c r="E75" s="1"/>
      <c r="F75" s="1"/>
      <c r="G75" s="1"/>
      <c r="H75" s="1">
        <v>1</v>
      </c>
      <c r="I75" s="1"/>
      <c r="J75" s="19">
        <f>(D75*D$59)+(E75*E$59)+(F75*F$59)+(G75*G$59)+(H75*H$59)+(I75*I$59)</f>
        <v>50</v>
      </c>
      <c r="K75" s="15" t="str">
        <f t="shared" si="14"/>
        <v/>
      </c>
      <c r="L75" s="20" t="str">
        <f t="shared" si="15"/>
        <v/>
      </c>
      <c r="M75" s="20"/>
      <c r="N75" s="20"/>
      <c r="O75" s="20"/>
      <c r="P75" s="1"/>
      <c r="Q75" s="1"/>
      <c r="R75" s="17">
        <f>SUM(K75:Q75)</f>
        <v>0</v>
      </c>
      <c r="T75" s="14">
        <f>R75+J75</f>
        <v>50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295</v>
      </c>
      <c r="D76" s="20">
        <v>4</v>
      </c>
      <c r="E76" s="1"/>
      <c r="F76" s="1"/>
      <c r="G76" s="1"/>
      <c r="H76" s="1"/>
      <c r="I76" s="1"/>
      <c r="J76" s="19">
        <f>(D76*D$59)+(E76*E$59)+(F76*F$59)+(G76*G$59)+(H76*H$59)+(I76*I$59)</f>
        <v>20</v>
      </c>
      <c r="K76" s="15" t="str">
        <f t="shared" si="14"/>
        <v/>
      </c>
      <c r="L76" s="20" t="str">
        <f t="shared" si="15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20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88</v>
      </c>
      <c r="D77" s="12"/>
      <c r="E77" s="10">
        <v>1</v>
      </c>
      <c r="F77" s="10"/>
      <c r="G77" s="10"/>
      <c r="H77" s="10">
        <v>1</v>
      </c>
      <c r="I77" s="10"/>
      <c r="J77" s="11">
        <f>(D77*D$59)+(E77*E$59)+(F77*F$59)+(G77*G$59)+(H77*H$59)+(I77*I$59)</f>
        <v>150</v>
      </c>
      <c r="K77" s="12" t="str">
        <f t="shared" si="14"/>
        <v/>
      </c>
      <c r="L77" s="12" t="str">
        <f t="shared" si="15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150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1980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166</v>
      </c>
      <c r="D79" s="23"/>
      <c r="E79" s="6"/>
      <c r="F79" s="6"/>
      <c r="G79" s="6"/>
      <c r="H79" s="6"/>
      <c r="I79" s="6"/>
      <c r="J79" s="7">
        <f>(D79*D$59)+(E79*E$59)+(F79*F$59)+(G79*G$59)+(H79*H$59)+(I79*I$59)</f>
        <v>0</v>
      </c>
      <c r="K79" s="23" t="str">
        <f t="shared" ref="K79:K83" si="16">IF(D79&gt;=100, 250, IF(D79&gt;=50, 150, IF(D79&gt;=30, 50, "")))</f>
        <v/>
      </c>
      <c r="L79" s="23" t="str">
        <f t="shared" ref="L79:L83" si="17">IF(E79=5, 200, IF(E79=3, 150, IF(E79=2, 50, "")))</f>
        <v/>
      </c>
      <c r="M79" s="23"/>
      <c r="N79" s="23"/>
      <c r="O79" s="23"/>
      <c r="P79" s="6"/>
      <c r="Q79" s="6"/>
      <c r="R79" s="24">
        <f>SUM(K79:Q79)</f>
        <v>0</v>
      </c>
      <c r="T79" s="33">
        <f>(R79+J79)*2</f>
        <v>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36</v>
      </c>
      <c r="D80" s="20">
        <v>5</v>
      </c>
      <c r="E80" s="1"/>
      <c r="F80" s="1"/>
      <c r="G80" s="1"/>
      <c r="H80" s="1"/>
      <c r="I80" s="1"/>
      <c r="J80" s="19">
        <f>(D80*D$59)+(E80*E$59)+(F80*F$59)+(G80*G$59)+(H80*H$59)+(I80*I$59)</f>
        <v>25</v>
      </c>
      <c r="K80" s="15" t="str">
        <f t="shared" si="16"/>
        <v/>
      </c>
      <c r="L80" s="20" t="str">
        <f t="shared" si="17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25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77</v>
      </c>
      <c r="D81" s="20"/>
      <c r="E81" s="1"/>
      <c r="F81" s="1"/>
      <c r="G81" s="1"/>
      <c r="H81" s="1"/>
      <c r="I81" s="1"/>
      <c r="J81" s="19">
        <f>(D81*D$59)+(E81*E$59)+(F81*F$59)+(G81*G$59)+(H81*H$59)+(I81*I$59)</f>
        <v>0</v>
      </c>
      <c r="K81" s="15" t="str">
        <f t="shared" si="16"/>
        <v/>
      </c>
      <c r="L81" s="20" t="str">
        <f t="shared" si="17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296</v>
      </c>
      <c r="D82" s="20">
        <v>32</v>
      </c>
      <c r="E82" s="1"/>
      <c r="F82" s="1"/>
      <c r="G82" s="1"/>
      <c r="H82" s="1">
        <v>1</v>
      </c>
      <c r="I82" s="1"/>
      <c r="J82" s="19">
        <f>(D82*D$59)+(E82*E$59)+(F82*F$59)+(G82*G$59)+(H82*H$59)+(I82*I$59)</f>
        <v>210</v>
      </c>
      <c r="K82" s="15">
        <f t="shared" si="16"/>
        <v>50</v>
      </c>
      <c r="L82" s="20" t="str">
        <f t="shared" si="17"/>
        <v/>
      </c>
      <c r="M82" s="20" t="s">
        <v>258</v>
      </c>
      <c r="N82" s="20"/>
      <c r="O82" s="20"/>
      <c r="P82" s="1"/>
      <c r="Q82" s="1"/>
      <c r="R82" s="17">
        <f>SUM(K82:Q82)</f>
        <v>50</v>
      </c>
      <c r="T82" s="14">
        <f>R82+J82</f>
        <v>260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184</v>
      </c>
      <c r="D83" s="12">
        <v>4</v>
      </c>
      <c r="E83" s="10"/>
      <c r="F83" s="10"/>
      <c r="G83" s="10"/>
      <c r="H83" s="10"/>
      <c r="I83" s="10"/>
      <c r="J83" s="11">
        <f>(D83*D$59)+(E83*E$59)+(F83*F$59)+(G83*G$59)+(H83*H$59)+(I83*I$59)</f>
        <v>20</v>
      </c>
      <c r="K83" s="12" t="str">
        <f t="shared" si="16"/>
        <v/>
      </c>
      <c r="L83" s="12" t="str">
        <f t="shared" si="17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20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AJ84"/>
  <sheetViews>
    <sheetView topLeftCell="A58" zoomScale="90" zoomScaleNormal="90" workbookViewId="0">
      <selection activeCell="D83" sqref="D83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-955</v>
      </c>
      <c r="Y28" s="42">
        <f>SUM(Y29:Y36)</f>
        <v>3150</v>
      </c>
      <c r="Z28" s="42">
        <f>SUM(Z29:Z36)</f>
        <v>-2665</v>
      </c>
      <c r="AA28" s="42">
        <f>SUM(AA29:AA36)</f>
        <v>470</v>
      </c>
    </row>
    <row r="29" spans="2:36" x14ac:dyDescent="0.3">
      <c r="B29" s="66" t="s">
        <v>211</v>
      </c>
      <c r="C29" s="60" t="s">
        <v>319</v>
      </c>
      <c r="D29" s="5">
        <v>9</v>
      </c>
      <c r="E29" s="6"/>
      <c r="F29" s="6"/>
      <c r="G29" s="6"/>
      <c r="H29" s="6"/>
      <c r="I29" s="6"/>
      <c r="J29" s="7">
        <f>(D29*D$59)+(E29*E$59)+(F29*F$59)+(G29*G$59)+(H29*H$59)+(I29*I$59)</f>
        <v>45</v>
      </c>
      <c r="K29" s="15" t="str">
        <f>IF(D29&gt;=100, 250, IF(D29&gt;=50, 150, IF(D29&gt;=30, 50, "")))</f>
        <v/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0</v>
      </c>
      <c r="T29" s="14">
        <f>(R29+J29)*2</f>
        <v>90</v>
      </c>
      <c r="V29" s="28">
        <v>1</v>
      </c>
      <c r="W29" s="29" t="s">
        <v>312</v>
      </c>
      <c r="X29" s="28">
        <v>-1750</v>
      </c>
      <c r="Y29" s="28">
        <v>4045</v>
      </c>
      <c r="Z29" s="28">
        <v>-1280</v>
      </c>
      <c r="AA29" s="28">
        <v>-1015</v>
      </c>
    </row>
    <row r="30" spans="2:36" x14ac:dyDescent="0.3">
      <c r="B30" s="67"/>
      <c r="C30" s="4" t="s">
        <v>70</v>
      </c>
      <c r="D30" s="18">
        <v>54</v>
      </c>
      <c r="E30" s="1"/>
      <c r="F30" s="1"/>
      <c r="G30" s="1"/>
      <c r="H30" s="1">
        <v>1</v>
      </c>
      <c r="I30" s="1"/>
      <c r="J30" s="19">
        <f>(D30*D$59)+(E30*E$59)+(F30*F$59)+(G30*G$59)+(H30*H$59)+(I30*I$59)</f>
        <v>320</v>
      </c>
      <c r="K30" s="15">
        <f t="shared" ref="K30:K33" si="0">IF(D30&gt;=100, 250, IF(D30&gt;=50, 150, IF(D30&gt;=30, 50, "")))</f>
        <v>150</v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150</v>
      </c>
      <c r="T30" s="14">
        <f>R30+J30</f>
        <v>470</v>
      </c>
      <c r="V30" s="28">
        <v>2</v>
      </c>
      <c r="W30" s="29">
        <v>45772</v>
      </c>
      <c r="X30" s="45">
        <v>1755</v>
      </c>
      <c r="Y30" s="45">
        <v>-350</v>
      </c>
      <c r="Z30" s="45">
        <v>-970</v>
      </c>
      <c r="AA30" s="45">
        <v>-435</v>
      </c>
    </row>
    <row r="31" spans="2:36" x14ac:dyDescent="0.3">
      <c r="B31" s="67"/>
      <c r="C31" s="4" t="s">
        <v>166</v>
      </c>
      <c r="D31" s="18">
        <v>5</v>
      </c>
      <c r="E31" s="1"/>
      <c r="F31" s="1"/>
      <c r="G31" s="1"/>
      <c r="H31" s="1"/>
      <c r="I31" s="1"/>
      <c r="J31" s="19">
        <f>(D31*D$59)+(E31*E$59)+(F31*F$59)+(G31*G$59)+(H31*H$59)+(I31*I$59)</f>
        <v>25</v>
      </c>
      <c r="K31" s="15" t="str">
        <f t="shared" si="0"/>
        <v/>
      </c>
      <c r="L31" s="20" t="str">
        <f t="shared" si="1"/>
        <v/>
      </c>
      <c r="M31" s="20" t="s">
        <v>258</v>
      </c>
      <c r="N31" s="20"/>
      <c r="O31" s="20"/>
      <c r="P31" s="1"/>
      <c r="Q31" s="1"/>
      <c r="R31" s="17">
        <f>SUM(K31:Q31)</f>
        <v>0</v>
      </c>
      <c r="T31" s="14">
        <f>R31+J31</f>
        <v>25</v>
      </c>
      <c r="V31" s="28">
        <v>3</v>
      </c>
      <c r="W31" s="29">
        <v>45774</v>
      </c>
      <c r="X31" s="45">
        <f>T34-T52</f>
        <v>-960</v>
      </c>
      <c r="Y31" s="45">
        <f>T40-T52</f>
        <v>-545</v>
      </c>
      <c r="Z31" s="45">
        <f>T46-T52</f>
        <v>-415</v>
      </c>
      <c r="AA31" s="45">
        <f>-(X31+Y31+Z31)</f>
        <v>1920</v>
      </c>
    </row>
    <row r="32" spans="2:36" x14ac:dyDescent="0.3">
      <c r="B32" s="67"/>
      <c r="C32" s="4" t="s">
        <v>212</v>
      </c>
      <c r="D32" s="18">
        <v>1</v>
      </c>
      <c r="E32" s="1">
        <v>1</v>
      </c>
      <c r="F32" s="1"/>
      <c r="G32" s="1"/>
      <c r="H32" s="1"/>
      <c r="I32" s="1"/>
      <c r="J32" s="19">
        <f>(D32*D$59)+(E32*E$59)+(F32*F$59)+(G32*G$59)+(H32*H$59)+(I32*I$59)</f>
        <v>105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105</v>
      </c>
      <c r="V32" s="28">
        <v>4</v>
      </c>
      <c r="W32" s="44"/>
      <c r="X32" s="45"/>
      <c r="Y32" s="45"/>
      <c r="Z32" s="45"/>
      <c r="AA32" s="45"/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148</v>
      </c>
      <c r="D33" s="9">
        <v>0</v>
      </c>
      <c r="E33" s="10">
        <v>2</v>
      </c>
      <c r="F33" s="10"/>
      <c r="G33" s="10"/>
      <c r="H33" s="10"/>
      <c r="I33" s="10">
        <v>1</v>
      </c>
      <c r="J33" s="11">
        <f>(D33*D$59)+(E33*E$59)+(F33*F$59)+(G33*G$59)+(H33*H$59)+(I33*I$59)</f>
        <v>150</v>
      </c>
      <c r="K33" s="12" t="str">
        <f t="shared" si="0"/>
        <v/>
      </c>
      <c r="L33" s="12">
        <f t="shared" si="1"/>
        <v>50</v>
      </c>
      <c r="M33" s="12" t="s">
        <v>258</v>
      </c>
      <c r="N33" s="12"/>
      <c r="O33" s="12"/>
      <c r="P33" s="10"/>
      <c r="Q33" s="10"/>
      <c r="R33" s="13">
        <f>SUM(K33:Q33)</f>
        <v>50</v>
      </c>
      <c r="T33" s="22">
        <f>(R33+J33)</f>
        <v>200</v>
      </c>
      <c r="V33" s="28">
        <v>5</v>
      </c>
      <c r="W33" s="29"/>
      <c r="X33" s="28"/>
      <c r="Y33" s="28"/>
      <c r="Z33" s="28"/>
      <c r="AA33" s="28"/>
      <c r="AC33" s="28" t="s">
        <v>211</v>
      </c>
      <c r="AD33" s="28">
        <f>T34</f>
        <v>890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62">
        <f>SUM(T29:T33)</f>
        <v>890</v>
      </c>
      <c r="V34" s="28">
        <v>6</v>
      </c>
      <c r="W34" s="29"/>
      <c r="X34" s="28"/>
      <c r="Y34" s="28"/>
      <c r="Z34" s="28"/>
      <c r="AA34" s="28"/>
      <c r="AC34" s="28" t="s">
        <v>96</v>
      </c>
      <c r="AD34" s="28">
        <f>T40</f>
        <v>1305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61" t="s">
        <v>37</v>
      </c>
      <c r="D35" s="23">
        <v>34</v>
      </c>
      <c r="E35" s="6"/>
      <c r="F35" s="6"/>
      <c r="G35" s="6"/>
      <c r="H35" s="6">
        <v>1</v>
      </c>
      <c r="I35" s="6"/>
      <c r="J35" s="7">
        <f>(D35*D$59)+(E35*E$59)+(F35*F$59)+(G35*G$59)+(H35*H$59)+(I35*I$59)</f>
        <v>220</v>
      </c>
      <c r="K35" s="23">
        <f t="shared" ref="K35:K39" si="2">IF(D35&gt;=100, 250, IF(D35&gt;=50, 150, IF(D35&gt;=30, 50, "")))</f>
        <v>50</v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50</v>
      </c>
      <c r="T35" s="33">
        <f>(R35+J35)*2</f>
        <v>540</v>
      </c>
      <c r="V35" s="28">
        <v>7</v>
      </c>
      <c r="W35" s="29"/>
      <c r="X35" s="28"/>
      <c r="Y35" s="28"/>
      <c r="Z35" s="28"/>
      <c r="AA35" s="28"/>
      <c r="AC35" s="28" t="s">
        <v>97</v>
      </c>
      <c r="AD35" s="28">
        <f>T46</f>
        <v>1435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316</v>
      </c>
      <c r="D36" s="20">
        <v>29</v>
      </c>
      <c r="E36" s="1">
        <v>2</v>
      </c>
      <c r="F36" s="1"/>
      <c r="G36" s="1"/>
      <c r="H36" s="1">
        <v>1</v>
      </c>
      <c r="I36" s="1"/>
      <c r="J36" s="19">
        <f>(D36*D$59)+(E36*E$59)+(F36*F$59)+(G36*G$59)+(H36*H$59)+(I36*I$59)</f>
        <v>395</v>
      </c>
      <c r="K36" s="15" t="str">
        <f t="shared" si="2"/>
        <v/>
      </c>
      <c r="L36" s="20">
        <f t="shared" si="3"/>
        <v>50</v>
      </c>
      <c r="M36" s="20"/>
      <c r="N36" s="20"/>
      <c r="O36" s="20"/>
      <c r="P36" s="1"/>
      <c r="Q36" s="1"/>
      <c r="R36" s="17">
        <f>SUM(K36:Q36)</f>
        <v>50</v>
      </c>
      <c r="T36" s="14">
        <f>R36+J36</f>
        <v>445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1850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38</v>
      </c>
      <c r="D37" s="20">
        <v>4</v>
      </c>
      <c r="E37" s="1"/>
      <c r="F37" s="1"/>
      <c r="G37" s="1"/>
      <c r="H37" s="1"/>
      <c r="I37" s="1"/>
      <c r="J37" s="19">
        <f>(D37*D$59)+(E37*E$59)+(F37*F$59)+(G37*G$59)+(H37*H$59)+(I37*I$59)</f>
        <v>20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20</v>
      </c>
      <c r="V37" s="28"/>
      <c r="W37" s="29"/>
      <c r="X37" s="28"/>
      <c r="Y37" s="28"/>
      <c r="Z37" s="28"/>
      <c r="AA37" s="28"/>
      <c r="AF37" s="49" t="s">
        <v>284</v>
      </c>
      <c r="AG37" s="49">
        <v>7915</v>
      </c>
      <c r="AH37" s="49">
        <v>-8325</v>
      </c>
      <c r="AI37" s="49">
        <v>-2815</v>
      </c>
      <c r="AJ37" s="49">
        <v>3225</v>
      </c>
    </row>
    <row r="38" spans="2:36" x14ac:dyDescent="0.3">
      <c r="B38" s="67"/>
      <c r="C38" s="19" t="s">
        <v>317</v>
      </c>
      <c r="D38" s="20"/>
      <c r="E38" s="1"/>
      <c r="F38" s="1"/>
      <c r="G38" s="1"/>
      <c r="H38" s="1">
        <v>1</v>
      </c>
      <c r="I38" s="1"/>
      <c r="J38" s="19">
        <f>(D38*D$59)+(E38*E$59)+(F38*F$59)+(G38*G$59)+(H38*H$59)+(I38*I$59)</f>
        <v>50</v>
      </c>
      <c r="K38" s="15" t="str">
        <f t="shared" si="2"/>
        <v/>
      </c>
      <c r="L38" s="20" t="str">
        <f t="shared" si="3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50</v>
      </c>
      <c r="V38" s="28"/>
      <c r="W38" s="29"/>
      <c r="X38" s="28"/>
      <c r="Y38" s="28"/>
      <c r="Z38" s="28"/>
      <c r="AA38" s="28"/>
      <c r="AF38" s="49" t="s">
        <v>308</v>
      </c>
      <c r="AG38" s="49">
        <f>X28</f>
        <v>-955</v>
      </c>
      <c r="AH38" s="49">
        <f>Y28</f>
        <v>3150</v>
      </c>
      <c r="AI38" s="49">
        <f>Z28</f>
        <v>-2665</v>
      </c>
      <c r="AJ38" s="49">
        <f>AA28</f>
        <v>470</v>
      </c>
    </row>
    <row r="39" spans="2:36" ht="15" thickBot="1" x14ac:dyDescent="0.35">
      <c r="B39" s="68"/>
      <c r="C39" s="11" t="s">
        <v>318</v>
      </c>
      <c r="D39" s="12">
        <v>20</v>
      </c>
      <c r="E39" s="10">
        <v>1</v>
      </c>
      <c r="F39" s="10"/>
      <c r="G39" s="10"/>
      <c r="H39" s="10">
        <v>1</v>
      </c>
      <c r="I39" s="10"/>
      <c r="J39" s="11">
        <f>(D39*D$59)+(E39*E$59)+(F39*F$59)+(G39*G$59)+(H39*H$59)+(I39*I$59)</f>
        <v>250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250</v>
      </c>
      <c r="V39" s="28"/>
      <c r="W39" s="29"/>
      <c r="X39" s="28"/>
      <c r="Y39" s="28"/>
      <c r="Z39" s="28"/>
      <c r="AA39" s="28"/>
      <c r="AF39" s="49" t="s">
        <v>0</v>
      </c>
      <c r="AG39" s="49">
        <f>SUM(AG33:AG38)</f>
        <v>12675</v>
      </c>
      <c r="AH39" s="49">
        <f t="shared" ref="AH39:AJ39" si="4">SUM(AH33:AH38)</f>
        <v>-100</v>
      </c>
      <c r="AI39" s="49">
        <f t="shared" si="4"/>
        <v>660</v>
      </c>
      <c r="AJ39" s="49">
        <f t="shared" si="4"/>
        <v>-13235</v>
      </c>
    </row>
    <row r="40" spans="2:36" ht="15" thickBot="1" x14ac:dyDescent="0.35">
      <c r="K40" s="2" t="s">
        <v>258</v>
      </c>
      <c r="L40" s="2" t="s">
        <v>258</v>
      </c>
      <c r="T40" s="62">
        <f>SUM(T35:T39)</f>
        <v>1305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61" t="s">
        <v>53</v>
      </c>
      <c r="D41" s="23">
        <v>27</v>
      </c>
      <c r="E41" s="6"/>
      <c r="F41" s="6"/>
      <c r="G41" s="6"/>
      <c r="H41" s="6">
        <v>1</v>
      </c>
      <c r="I41" s="6"/>
      <c r="J41" s="7">
        <f>(D41*D$59)+(E41*E$59)+(F41*F$59)+(G41*G$59)+(H41*H$59)+(I41*I$59)</f>
        <v>185</v>
      </c>
      <c r="K41" s="23" t="str">
        <f t="shared" ref="K41:K45" si="5">IF(D41&gt;=100, 250, IF(D41&gt;=50, 150, IF(D41&gt;=30, 50, "")))</f>
        <v/>
      </c>
      <c r="L41" s="23" t="str">
        <f t="shared" ref="L41:L45" si="6">IF(E41=5, 200, IF(E41=3, 150, IF(E41=2, 50, "")))</f>
        <v/>
      </c>
      <c r="M41" s="23"/>
      <c r="N41" s="23"/>
      <c r="O41" s="23"/>
      <c r="P41" s="6">
        <v>100</v>
      </c>
      <c r="Q41" s="6"/>
      <c r="R41" s="24">
        <f>SUM(K41:Q41)</f>
        <v>100</v>
      </c>
      <c r="T41" s="33">
        <f>(R41+J41)*2</f>
        <v>570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57</v>
      </c>
      <c r="D42" s="20">
        <v>12</v>
      </c>
      <c r="E42" s="1"/>
      <c r="F42" s="1"/>
      <c r="G42" s="1"/>
      <c r="H42" s="1"/>
      <c r="I42" s="1"/>
      <c r="J42" s="19">
        <f>(D42*D$59)+(E42*E$59)+(F42*F$59)+(G42*G$59)+(H42*H$59)+(I42*I$59)</f>
        <v>60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60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240</v>
      </c>
      <c r="D43" s="20"/>
      <c r="E43" s="1">
        <v>4</v>
      </c>
      <c r="F43" s="1"/>
      <c r="G43" s="1"/>
      <c r="H43" s="1"/>
      <c r="I43" s="1"/>
      <c r="J43" s="19">
        <f>(D43*D$59)+(E43*E$59)+(F43*F$59)+(G43*G$59)+(H43*H$59)+(I43*I$59)</f>
        <v>400</v>
      </c>
      <c r="K43" s="15" t="str">
        <f t="shared" si="5"/>
        <v/>
      </c>
      <c r="L43" s="20">
        <v>150</v>
      </c>
      <c r="M43" s="20"/>
      <c r="N43" s="20"/>
      <c r="O43" s="20"/>
      <c r="P43" s="1"/>
      <c r="Q43" s="1"/>
      <c r="R43" s="17">
        <f>SUM(K43:Q43)</f>
        <v>150</v>
      </c>
      <c r="T43" s="14">
        <f>R43+J43</f>
        <v>550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291</v>
      </c>
      <c r="D44" s="20"/>
      <c r="E44" s="1">
        <v>2</v>
      </c>
      <c r="F44" s="1"/>
      <c r="G44" s="1"/>
      <c r="H44" s="1"/>
      <c r="I44" s="1"/>
      <c r="J44" s="19">
        <f>(D44*D$59)+(E44*E$59)+(F44*F$59)+(G44*G$59)+(H44*H$59)+(I44*I$59)</f>
        <v>200</v>
      </c>
      <c r="K44" s="15" t="str">
        <f t="shared" si="5"/>
        <v/>
      </c>
      <c r="L44" s="20">
        <f t="shared" si="6"/>
        <v>50</v>
      </c>
      <c r="M44" s="20"/>
      <c r="N44" s="20"/>
      <c r="O44" s="20"/>
      <c r="P44" s="1"/>
      <c r="Q44" s="1"/>
      <c r="R44" s="17">
        <f>SUM(K44:Q44)</f>
        <v>50</v>
      </c>
      <c r="T44" s="14">
        <f>R44+J44</f>
        <v>250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23</v>
      </c>
      <c r="D45" s="12">
        <v>1</v>
      </c>
      <c r="E45" s="10"/>
      <c r="F45" s="10"/>
      <c r="G45" s="10"/>
      <c r="H45" s="10"/>
      <c r="I45" s="10"/>
      <c r="J45" s="11">
        <f>(D45*D$59)+(E45*E$59)+(F45*F$59)+(G45*G$59)+(H45*H$59)+(I45*I$59)</f>
        <v>5</v>
      </c>
      <c r="K45" s="12" t="str">
        <f t="shared" si="5"/>
        <v/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5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62">
        <f>SUM(T41:T45)</f>
        <v>1435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61" t="s">
        <v>271</v>
      </c>
      <c r="D47" s="23">
        <v>58</v>
      </c>
      <c r="E47" s="6"/>
      <c r="F47" s="6"/>
      <c r="G47" s="6"/>
      <c r="H47" s="6"/>
      <c r="I47" s="6"/>
      <c r="J47" s="7">
        <f>(D47*D$59)+(E47*E$59)+(F47*F$59)+(G47*G$59)+(H47*H$59)+(I47*I$59)</f>
        <v>290</v>
      </c>
      <c r="K47" s="23">
        <f t="shared" ref="K47:K51" si="7">IF(D47&gt;=100, 250, IF(D47&gt;=50, 150, IF(D47&gt;=30, 50, "")))</f>
        <v>150</v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150</v>
      </c>
      <c r="T47" s="33">
        <f>(R47+J47)*2</f>
        <v>880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55</v>
      </c>
      <c r="D48" s="20">
        <v>6</v>
      </c>
      <c r="E48" s="1"/>
      <c r="F48" s="1"/>
      <c r="G48" s="1"/>
      <c r="H48" s="1">
        <v>1</v>
      </c>
      <c r="I48" s="1"/>
      <c r="J48" s="19">
        <f>(D48*D$59)+(E48*E$59)+(F48*F$59)+(G48*G$59)+(H48*H$59)+(I48*I$59)</f>
        <v>80</v>
      </c>
      <c r="K48" s="15" t="str">
        <f t="shared" si="7"/>
        <v/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0</v>
      </c>
      <c r="T48" s="14">
        <f>R48+J48</f>
        <v>80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213</v>
      </c>
      <c r="D49" s="20">
        <v>35</v>
      </c>
      <c r="E49" s="1"/>
      <c r="F49" s="1"/>
      <c r="G49" s="1"/>
      <c r="H49" s="1">
        <v>1</v>
      </c>
      <c r="I49" s="1"/>
      <c r="J49" s="19">
        <f>(D49*D$59)+(E49*E$59)+(F49*F$59)+(G49*G$59)+(H49*H$59)+(I49*I$59)</f>
        <v>225</v>
      </c>
      <c r="K49" s="15">
        <f t="shared" si="7"/>
        <v>50</v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50</v>
      </c>
      <c r="T49" s="14">
        <f>R49+J49</f>
        <v>275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51</v>
      </c>
      <c r="D50" s="20"/>
      <c r="E50" s="1">
        <v>3</v>
      </c>
      <c r="F50" s="1"/>
      <c r="G50" s="1"/>
      <c r="H50" s="1"/>
      <c r="I50" s="1"/>
      <c r="J50" s="19">
        <f>(D50*D$59)+(E50*E$59)+(F50*F$59)+(G50*G$59)+(H50*H$59)+(I50*I$59)</f>
        <v>300</v>
      </c>
      <c r="K50" s="15" t="str">
        <f t="shared" si="7"/>
        <v/>
      </c>
      <c r="L50" s="20">
        <f t="shared" si="8"/>
        <v>150</v>
      </c>
      <c r="M50" s="20" t="s">
        <v>258</v>
      </c>
      <c r="N50" s="20"/>
      <c r="O50" s="20"/>
      <c r="P50" s="1"/>
      <c r="Q50" s="1"/>
      <c r="R50" s="17">
        <f>SUM(K50:Q50)</f>
        <v>150</v>
      </c>
      <c r="T50" s="14">
        <f>R50+J50</f>
        <v>450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54</v>
      </c>
      <c r="D51" s="12">
        <v>13</v>
      </c>
      <c r="E51" s="10">
        <v>1</v>
      </c>
      <c r="F51" s="10"/>
      <c r="G51" s="10"/>
      <c r="H51" s="10"/>
      <c r="I51" s="10"/>
      <c r="J51" s="11">
        <f>(D51*D$59)+(E51*E$59)+(F51*F$59)+(G51*G$59)+(H51*H$59)+(I51*I$59)</f>
        <v>165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165</v>
      </c>
      <c r="V51" s="28"/>
      <c r="W51" s="29"/>
      <c r="X51" s="28"/>
      <c r="Y51" s="28"/>
      <c r="Z51" s="28"/>
      <c r="AA51" s="28"/>
    </row>
    <row r="52" spans="2:30" ht="15" thickBot="1" x14ac:dyDescent="0.35">
      <c r="T52" s="62">
        <f>SUM(T47:T51)</f>
        <v>1850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-1750</v>
      </c>
      <c r="Y60" s="42">
        <f>SUM(Y61:Y68)</f>
        <v>5120</v>
      </c>
      <c r="Z60" s="42">
        <f>SUM(Z61:Z68)</f>
        <v>-3620</v>
      </c>
      <c r="AA60" s="42">
        <f>SUM(AA61:AA68)</f>
        <v>250</v>
      </c>
    </row>
    <row r="61" spans="2:30" x14ac:dyDescent="0.3">
      <c r="B61" s="66" t="s">
        <v>211</v>
      </c>
      <c r="C61" s="38" t="s">
        <v>20</v>
      </c>
      <c r="D61" s="5">
        <v>22</v>
      </c>
      <c r="E61" s="6"/>
      <c r="F61" s="6"/>
      <c r="G61" s="6"/>
      <c r="H61" s="6"/>
      <c r="I61" s="6"/>
      <c r="J61" s="7">
        <f>(D61*D$59)+(E61*E$59)+(F61*F$59)+(G61*G$59)+(H61*H$59)+(I61*I$59)</f>
        <v>110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220</v>
      </c>
      <c r="V61" s="28">
        <v>1</v>
      </c>
      <c r="W61" s="29" t="s">
        <v>312</v>
      </c>
      <c r="X61" s="28">
        <v>-1750</v>
      </c>
      <c r="Y61" s="28">
        <v>4045</v>
      </c>
      <c r="Z61" s="28">
        <v>-1280</v>
      </c>
      <c r="AA61" s="28">
        <v>-1015</v>
      </c>
    </row>
    <row r="62" spans="2:30" x14ac:dyDescent="0.3">
      <c r="B62" s="67"/>
      <c r="C62" s="4" t="s">
        <v>320</v>
      </c>
      <c r="D62" s="18">
        <v>12</v>
      </c>
      <c r="E62" s="1"/>
      <c r="F62" s="1"/>
      <c r="G62" s="1"/>
      <c r="H62" s="1">
        <v>1</v>
      </c>
      <c r="I62" s="1"/>
      <c r="J62" s="19">
        <f t="shared" ref="J62:J65" si="9">(D62*D$59)+(E62*E$59)+(F62*F$59)+(G62*G$59)+(H62*H$59)+(I62*I$59)</f>
        <v>110</v>
      </c>
      <c r="K62" s="15" t="str">
        <f t="shared" ref="K62:K65" si="10">IF(D62&gt;=100, 250, IF(D62&gt;=50, 150, IF(D62&gt;=30, 50, "")))</f>
        <v/>
      </c>
      <c r="L62" s="20" t="str">
        <f t="shared" ref="L62:L65" si="11">IF(E62=5, 200, IF(E62=3, 150, IF(E62=2, 50, "")))</f>
        <v/>
      </c>
      <c r="M62" s="20" t="s">
        <v>258</v>
      </c>
      <c r="N62" s="20"/>
      <c r="O62" s="20"/>
      <c r="P62" s="1"/>
      <c r="Q62" s="1"/>
      <c r="R62" s="17">
        <f>SUM(K62:Q62)</f>
        <v>0</v>
      </c>
      <c r="T62" s="14">
        <f>R62+J62</f>
        <v>110</v>
      </c>
      <c r="V62" s="28">
        <v>2</v>
      </c>
      <c r="W62" s="29">
        <v>45772</v>
      </c>
      <c r="X62" s="45">
        <v>1755</v>
      </c>
      <c r="Y62" s="45">
        <v>-350</v>
      </c>
      <c r="Z62" s="45">
        <v>-970</v>
      </c>
      <c r="AA62" s="45">
        <v>-435</v>
      </c>
    </row>
    <row r="63" spans="2:30" x14ac:dyDescent="0.3">
      <c r="B63" s="67"/>
      <c r="C63" s="4" t="s">
        <v>321</v>
      </c>
      <c r="D63" s="18"/>
      <c r="E63" s="1">
        <v>2</v>
      </c>
      <c r="F63" s="1"/>
      <c r="G63" s="1"/>
      <c r="H63" s="1">
        <v>1</v>
      </c>
      <c r="I63" s="1"/>
      <c r="J63" s="19">
        <f t="shared" si="9"/>
        <v>250</v>
      </c>
      <c r="K63" s="15" t="str">
        <f t="shared" si="10"/>
        <v/>
      </c>
      <c r="L63" s="20">
        <f t="shared" si="11"/>
        <v>50</v>
      </c>
      <c r="M63" s="20" t="s">
        <v>258</v>
      </c>
      <c r="N63" s="20"/>
      <c r="O63" s="20"/>
      <c r="P63" s="1"/>
      <c r="Q63" s="1"/>
      <c r="R63" s="17">
        <f>SUM(K63:Q63)</f>
        <v>50</v>
      </c>
      <c r="T63" s="14">
        <f>R63+J63</f>
        <v>300</v>
      </c>
      <c r="V63" s="28">
        <v>3</v>
      </c>
      <c r="W63" s="29">
        <v>45774</v>
      </c>
      <c r="X63" s="45">
        <v>-960</v>
      </c>
      <c r="Y63" s="45">
        <v>-545</v>
      </c>
      <c r="Z63" s="45">
        <v>-415</v>
      </c>
      <c r="AA63" s="45">
        <v>1920</v>
      </c>
      <c r="AC63" s="50" t="s">
        <v>5</v>
      </c>
      <c r="AD63" s="50" t="s">
        <v>235</v>
      </c>
    </row>
    <row r="64" spans="2:30" x14ac:dyDescent="0.3">
      <c r="B64" s="67"/>
      <c r="C64" s="4" t="s">
        <v>322</v>
      </c>
      <c r="D64" s="18"/>
      <c r="E64" s="1"/>
      <c r="F64" s="1"/>
      <c r="G64" s="1"/>
      <c r="H64" s="1"/>
      <c r="I64" s="1"/>
      <c r="J64" s="19">
        <f t="shared" si="9"/>
        <v>0</v>
      </c>
      <c r="K64" s="15" t="str">
        <f t="shared" si="10"/>
        <v/>
      </c>
      <c r="L64" s="20" t="str">
        <f t="shared" si="11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29">
        <v>45774</v>
      </c>
      <c r="X64" s="45">
        <f>T66-T72</f>
        <v>-795</v>
      </c>
      <c r="Y64" s="45">
        <f>-(X64+Z64+AA64)</f>
        <v>1970</v>
      </c>
      <c r="Z64" s="45">
        <f>T78-T72</f>
        <v>-955</v>
      </c>
      <c r="AA64" s="45">
        <f>T84-T72</f>
        <v>-220</v>
      </c>
      <c r="AC64" s="28" t="s">
        <v>211</v>
      </c>
      <c r="AD64" s="28">
        <f>T66</f>
        <v>730</v>
      </c>
    </row>
    <row r="65" spans="2:30" ht="15" thickBot="1" x14ac:dyDescent="0.35">
      <c r="B65" s="68"/>
      <c r="C65" s="21" t="s">
        <v>304</v>
      </c>
      <c r="D65" s="9"/>
      <c r="E65" s="10">
        <v>1</v>
      </c>
      <c r="F65" s="10"/>
      <c r="G65" s="10"/>
      <c r="H65" s="10"/>
      <c r="I65" s="10"/>
      <c r="J65" s="11">
        <f t="shared" si="9"/>
        <v>100</v>
      </c>
      <c r="K65" s="12" t="str">
        <f t="shared" si="10"/>
        <v/>
      </c>
      <c r="L65" s="12" t="str">
        <f t="shared" si="11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100</v>
      </c>
      <c r="V65" s="28">
        <v>5</v>
      </c>
      <c r="W65" s="29"/>
      <c r="X65" s="28"/>
      <c r="Y65" s="28"/>
      <c r="Z65" s="28"/>
      <c r="AA65" s="28"/>
      <c r="AC65" s="28" t="s">
        <v>96</v>
      </c>
      <c r="AD65" s="28">
        <f>T72</f>
        <v>1525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730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570</v>
      </c>
    </row>
    <row r="67" spans="2:30" x14ac:dyDescent="0.3">
      <c r="B67" s="66" t="s">
        <v>96</v>
      </c>
      <c r="C67" s="39" t="s">
        <v>19</v>
      </c>
      <c r="D67" s="23">
        <v>51</v>
      </c>
      <c r="E67" s="6"/>
      <c r="F67" s="6">
        <v>1</v>
      </c>
      <c r="G67" s="6"/>
      <c r="H67" s="6">
        <v>1</v>
      </c>
      <c r="I67" s="6"/>
      <c r="J67" s="7">
        <f>(D67*D$59)+(E67*E$59)+(F67*F$59)+(G67*G$59)+(H67*H$59)+(I67*I$59)</f>
        <v>355</v>
      </c>
      <c r="K67" s="23">
        <f t="shared" ref="K67:K71" si="12">IF(D67&gt;=100, 250, IF(D67&gt;=50, 150, IF(D67&gt;=30, 50, "")))</f>
        <v>150</v>
      </c>
      <c r="L67" s="23" t="str">
        <f t="shared" ref="L67:L71" si="13">IF(E67=5, 200, IF(E67=3, 150, IF(E67=2, 50, "")))</f>
        <v/>
      </c>
      <c r="M67" s="23"/>
      <c r="N67" s="23"/>
      <c r="O67" s="23"/>
      <c r="P67" s="6"/>
      <c r="Q67" s="6"/>
      <c r="R67" s="24">
        <f>SUM(K67:Q67)</f>
        <v>150</v>
      </c>
      <c r="T67" s="33">
        <f>(R67+J67)*2</f>
        <v>1010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1305</v>
      </c>
    </row>
    <row r="68" spans="2:30" x14ac:dyDescent="0.3">
      <c r="B68" s="67"/>
      <c r="C68" s="19" t="s">
        <v>71</v>
      </c>
      <c r="D68" s="20">
        <v>28</v>
      </c>
      <c r="E68" s="1"/>
      <c r="F68" s="1"/>
      <c r="G68" s="1"/>
      <c r="H68" s="1"/>
      <c r="I68" s="1"/>
      <c r="J68" s="19">
        <f t="shared" ref="J68:J71" si="14">(D68*D$59)+(E68*E$59)+(F68*F$59)+(G68*G$59)+(H68*H$59)+(I68*I$59)</f>
        <v>140</v>
      </c>
      <c r="K68" s="15" t="str">
        <f t="shared" si="12"/>
        <v/>
      </c>
      <c r="L68" s="20" t="str">
        <f t="shared" si="13"/>
        <v/>
      </c>
      <c r="M68" s="20"/>
      <c r="N68" s="20"/>
      <c r="O68" s="20"/>
      <c r="P68" s="1"/>
      <c r="Q68" s="1"/>
      <c r="R68" s="17">
        <f>SUM(K68:Q68)</f>
        <v>0</v>
      </c>
      <c r="T68" s="14">
        <f>R68+J68</f>
        <v>140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44</v>
      </c>
      <c r="D69" s="20">
        <v>15</v>
      </c>
      <c r="E69" s="1">
        <v>2</v>
      </c>
      <c r="F69" s="1"/>
      <c r="G69" s="1"/>
      <c r="H69" s="1"/>
      <c r="I69" s="1"/>
      <c r="J69" s="19">
        <f t="shared" si="14"/>
        <v>275</v>
      </c>
      <c r="K69" s="15" t="str">
        <f t="shared" si="12"/>
        <v/>
      </c>
      <c r="L69" s="20">
        <f t="shared" si="13"/>
        <v>50</v>
      </c>
      <c r="M69" s="20"/>
      <c r="N69" s="20"/>
      <c r="O69" s="20"/>
      <c r="P69" s="1"/>
      <c r="Q69" s="1"/>
      <c r="R69" s="17">
        <f>SUM(K69:Q69)</f>
        <v>50</v>
      </c>
      <c r="T69" s="14">
        <f>R69+J69</f>
        <v>325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65</v>
      </c>
      <c r="D70" s="20"/>
      <c r="E70" s="1"/>
      <c r="F70" s="1"/>
      <c r="G70" s="1"/>
      <c r="H70" s="1">
        <v>1</v>
      </c>
      <c r="I70" s="1"/>
      <c r="J70" s="19">
        <f t="shared" si="14"/>
        <v>50</v>
      </c>
      <c r="K70" s="15" t="str">
        <f t="shared" si="12"/>
        <v/>
      </c>
      <c r="L70" s="20" t="str">
        <f t="shared" si="13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50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62</v>
      </c>
      <c r="D71" s="12"/>
      <c r="E71" s="10"/>
      <c r="F71" s="10"/>
      <c r="G71" s="10"/>
      <c r="H71" s="10"/>
      <c r="I71" s="10"/>
      <c r="J71" s="11">
        <f t="shared" si="14"/>
        <v>0</v>
      </c>
      <c r="K71" s="12" t="str">
        <f t="shared" si="12"/>
        <v/>
      </c>
      <c r="L71" s="12" t="str">
        <f t="shared" si="13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1525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323</v>
      </c>
      <c r="D73" s="23">
        <v>4</v>
      </c>
      <c r="E73" s="6"/>
      <c r="F73" s="6">
        <v>2</v>
      </c>
      <c r="G73" s="6"/>
      <c r="H73" s="6">
        <v>1</v>
      </c>
      <c r="I73" s="6"/>
      <c r="J73" s="7">
        <f>(D73*D$59)+(E73*E$59)+(F73*F$59)+(G73*G$59)+(H73*H$59)+(I73*I$59)</f>
        <v>170</v>
      </c>
      <c r="K73" s="23" t="str">
        <f t="shared" ref="K73:K77" si="15">IF(D73&gt;=100, 250, IF(D73&gt;=50, 150, IF(D73&gt;=30, 50, "")))</f>
        <v/>
      </c>
      <c r="L73" s="23" t="str">
        <f t="shared" ref="L73:L77" si="16">IF(E73=5, 200, IF(E73=3, 150, IF(E73=2, 50, "")))</f>
        <v/>
      </c>
      <c r="M73" s="23"/>
      <c r="N73" s="23"/>
      <c r="O73" s="23"/>
      <c r="P73" s="6"/>
      <c r="Q73" s="6"/>
      <c r="R73" s="24">
        <f>SUM(K73:Q73)</f>
        <v>0</v>
      </c>
      <c r="T73" s="33">
        <f>(R73+J73)*2</f>
        <v>340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324</v>
      </c>
      <c r="D74" s="20">
        <v>0</v>
      </c>
      <c r="E74" s="1"/>
      <c r="F74" s="1"/>
      <c r="G74" s="1"/>
      <c r="H74" s="1"/>
      <c r="I74" s="1">
        <v>1</v>
      </c>
      <c r="J74" s="19">
        <f t="shared" ref="J74:J77" si="17">(D74*D$59)+(E74*E$59)+(F74*F$59)+(G74*G$59)+(H74*H$59)+(I74*I$59)</f>
        <v>-50</v>
      </c>
      <c r="K74" s="15" t="str">
        <f t="shared" si="15"/>
        <v/>
      </c>
      <c r="L74" s="20" t="str">
        <f t="shared" si="16"/>
        <v/>
      </c>
      <c r="M74" s="20"/>
      <c r="N74" s="20"/>
      <c r="O74" s="20"/>
      <c r="P74" s="1"/>
      <c r="Q74" s="1"/>
      <c r="R74" s="17">
        <f>SUM(K74:Q74)</f>
        <v>0</v>
      </c>
      <c r="T74" s="14">
        <f>R74+J74</f>
        <v>-50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45</v>
      </c>
      <c r="D75" s="20">
        <v>34</v>
      </c>
      <c r="E75" s="1"/>
      <c r="F75" s="1"/>
      <c r="G75" s="1"/>
      <c r="H75" s="1"/>
      <c r="I75" s="1"/>
      <c r="J75" s="19">
        <f t="shared" si="17"/>
        <v>170</v>
      </c>
      <c r="K75" s="15">
        <f t="shared" si="15"/>
        <v>50</v>
      </c>
      <c r="L75" s="20" t="str">
        <f t="shared" si="16"/>
        <v/>
      </c>
      <c r="M75" s="20"/>
      <c r="N75" s="20"/>
      <c r="O75" s="20"/>
      <c r="P75" s="1"/>
      <c r="Q75" s="1"/>
      <c r="R75" s="17">
        <f>SUM(K75:Q75)</f>
        <v>50</v>
      </c>
      <c r="T75" s="14">
        <f>R75+J75</f>
        <v>220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175</v>
      </c>
      <c r="D76" s="20">
        <v>12</v>
      </c>
      <c r="E76" s="1"/>
      <c r="F76" s="1"/>
      <c r="G76" s="1"/>
      <c r="H76" s="1"/>
      <c r="I76" s="1"/>
      <c r="J76" s="19">
        <f t="shared" si="17"/>
        <v>60</v>
      </c>
      <c r="K76" s="15" t="str">
        <f t="shared" si="15"/>
        <v/>
      </c>
      <c r="L76" s="20" t="str">
        <f t="shared" si="16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60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294</v>
      </c>
      <c r="D77" s="12"/>
      <c r="E77" s="10"/>
      <c r="F77" s="10"/>
      <c r="G77" s="10"/>
      <c r="H77" s="10"/>
      <c r="I77" s="10"/>
      <c r="J77" s="11">
        <f t="shared" si="17"/>
        <v>0</v>
      </c>
      <c r="K77" s="12" t="str">
        <f t="shared" si="15"/>
        <v/>
      </c>
      <c r="L77" s="12" t="str">
        <f t="shared" si="16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570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256</v>
      </c>
      <c r="D79" s="23">
        <v>41</v>
      </c>
      <c r="E79" s="6"/>
      <c r="F79" s="6"/>
      <c r="G79" s="6"/>
      <c r="H79" s="6"/>
      <c r="I79" s="6"/>
      <c r="J79" s="7">
        <f>(D79*D$59)+(E79*E$59)+(F79*F$59)+(G79*G$59)+(H79*H$59)+(I79*I$59)</f>
        <v>205</v>
      </c>
      <c r="K79" s="23">
        <f t="shared" ref="K79:K83" si="18">IF(D79&gt;=100, 250, IF(D79&gt;=50, 150, IF(D79&gt;=30, 50, "")))</f>
        <v>50</v>
      </c>
      <c r="L79" s="23" t="str">
        <f t="shared" ref="L79:L83" si="19">IF(E79=5, 200, IF(E79=3, 150, IF(E79=2, 50, "")))</f>
        <v/>
      </c>
      <c r="M79" s="23"/>
      <c r="N79" s="23"/>
      <c r="O79" s="23"/>
      <c r="P79" s="6"/>
      <c r="Q79" s="6"/>
      <c r="R79" s="24">
        <f>SUM(K79:Q79)</f>
        <v>50</v>
      </c>
      <c r="T79" s="33">
        <f>(R79+J79)*2</f>
        <v>510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35</v>
      </c>
      <c r="D80" s="20">
        <v>6</v>
      </c>
      <c r="E80" s="1"/>
      <c r="F80" s="1"/>
      <c r="G80" s="1"/>
      <c r="H80" s="1"/>
      <c r="I80" s="1"/>
      <c r="J80" s="19">
        <f t="shared" ref="J80:J83" si="20">(D80*D$59)+(E80*E$59)+(F80*F$59)+(G80*G$59)+(H80*H$59)+(I80*I$59)</f>
        <v>30</v>
      </c>
      <c r="K80" s="15" t="str">
        <f t="shared" si="18"/>
        <v/>
      </c>
      <c r="L80" s="20" t="str">
        <f t="shared" si="19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47</v>
      </c>
      <c r="D81" s="20"/>
      <c r="E81" s="1"/>
      <c r="F81" s="1"/>
      <c r="G81" s="1"/>
      <c r="H81" s="1">
        <v>1</v>
      </c>
      <c r="I81" s="1"/>
      <c r="J81" s="19">
        <f t="shared" si="20"/>
        <v>50</v>
      </c>
      <c r="K81" s="15" t="str">
        <f t="shared" si="18"/>
        <v/>
      </c>
      <c r="L81" s="20" t="str">
        <f t="shared" si="19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241</v>
      </c>
      <c r="D82" s="20">
        <v>73</v>
      </c>
      <c r="E82" s="1">
        <v>1</v>
      </c>
      <c r="F82" s="1"/>
      <c r="G82" s="1"/>
      <c r="H82" s="1"/>
      <c r="I82" s="1"/>
      <c r="J82" s="19">
        <f t="shared" si="20"/>
        <v>465</v>
      </c>
      <c r="K82" s="15">
        <f t="shared" si="18"/>
        <v>150</v>
      </c>
      <c r="L82" s="20" t="str">
        <f t="shared" si="19"/>
        <v/>
      </c>
      <c r="M82" s="20" t="s">
        <v>258</v>
      </c>
      <c r="N82" s="20"/>
      <c r="O82" s="20"/>
      <c r="P82" s="1"/>
      <c r="Q82" s="1"/>
      <c r="R82" s="17">
        <f>SUM(K82:Q82)</f>
        <v>150</v>
      </c>
      <c r="T82" s="14">
        <f>R82+J82</f>
        <v>615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200</v>
      </c>
      <c r="D83" s="12"/>
      <c r="E83" s="10">
        <v>1</v>
      </c>
      <c r="F83" s="10"/>
      <c r="G83" s="10"/>
      <c r="H83" s="10"/>
      <c r="I83" s="10"/>
      <c r="J83" s="11">
        <f t="shared" si="20"/>
        <v>100</v>
      </c>
      <c r="K83" s="12" t="str">
        <f t="shared" si="18"/>
        <v/>
      </c>
      <c r="L83" s="12" t="str">
        <f t="shared" si="19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1305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AJ84"/>
  <sheetViews>
    <sheetView zoomScale="90" zoomScaleNormal="90" workbookViewId="0">
      <selection activeCell="P33" sqref="P33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-3355</v>
      </c>
      <c r="Y28" s="42">
        <f>SUM(Y29:Y36)</f>
        <v>4450</v>
      </c>
      <c r="Z28" s="42">
        <f>SUM(Z29:Z36)</f>
        <v>-4670</v>
      </c>
      <c r="AA28" s="42">
        <f>SUM(AA29:AA36)</f>
        <v>3575</v>
      </c>
    </row>
    <row r="29" spans="2:36" x14ac:dyDescent="0.3">
      <c r="B29" s="66" t="s">
        <v>211</v>
      </c>
      <c r="C29" s="60" t="s">
        <v>288</v>
      </c>
      <c r="D29" s="5">
        <v>39</v>
      </c>
      <c r="E29" s="6"/>
      <c r="F29" s="6"/>
      <c r="G29" s="6"/>
      <c r="H29" s="6"/>
      <c r="I29" s="6"/>
      <c r="J29" s="7">
        <f>(D29*D$59)+(E29*E$59)+(F29*F$59)+(G29*G$59)+(H29*H$59)+(I29*I$59)</f>
        <v>195</v>
      </c>
      <c r="K29" s="15">
        <f>IF(D29&gt;=100, 250, IF(D29&gt;=50, 150, IF(D29&gt;=30, 50, "")))</f>
        <v>50</v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50</v>
      </c>
      <c r="T29" s="14">
        <f>(R29+J29)*2</f>
        <v>490</v>
      </c>
      <c r="V29" s="28">
        <v>1</v>
      </c>
      <c r="W29" s="29">
        <v>45771</v>
      </c>
      <c r="X29" s="28">
        <v>-1750</v>
      </c>
      <c r="Y29" s="28">
        <v>4045</v>
      </c>
      <c r="Z29" s="28">
        <v>-1280</v>
      </c>
      <c r="AA29" s="28">
        <v>-1015</v>
      </c>
    </row>
    <row r="30" spans="2:36" x14ac:dyDescent="0.3">
      <c r="B30" s="67"/>
      <c r="C30" s="4" t="s">
        <v>106</v>
      </c>
      <c r="D30" s="18"/>
      <c r="E30" s="1">
        <v>1</v>
      </c>
      <c r="F30" s="1"/>
      <c r="G30" s="1"/>
      <c r="H30" s="1"/>
      <c r="I30" s="1"/>
      <c r="J30" s="19">
        <f>(D30*D$59)+(E30*E$59)+(F30*F$59)+(G30*G$59)+(H30*H$59)+(I30*I$59)</f>
        <v>100</v>
      </c>
      <c r="K30" s="15" t="str">
        <f t="shared" ref="K30:K33" si="0">IF(D30&gt;=100, 250, IF(D30&gt;=50, 150, IF(D30&gt;=30, 50, "")))</f>
        <v/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0</v>
      </c>
      <c r="T30" s="14">
        <f>R30+J30</f>
        <v>100</v>
      </c>
      <c r="V30" s="28">
        <v>2</v>
      </c>
      <c r="W30" s="29">
        <v>45772</v>
      </c>
      <c r="X30" s="45">
        <v>1755</v>
      </c>
      <c r="Y30" s="45">
        <v>-350</v>
      </c>
      <c r="Z30" s="45">
        <v>-970</v>
      </c>
      <c r="AA30" s="45">
        <v>-435</v>
      </c>
    </row>
    <row r="31" spans="2:36" x14ac:dyDescent="0.3">
      <c r="B31" s="67"/>
      <c r="C31" s="4" t="s">
        <v>109</v>
      </c>
      <c r="D31" s="18"/>
      <c r="E31" s="1"/>
      <c r="F31" s="1"/>
      <c r="G31" s="1"/>
      <c r="H31" s="1"/>
      <c r="I31" s="1"/>
      <c r="J31" s="19">
        <f>(D31*D$59)+(E31*E$59)+(F31*F$59)+(G31*G$59)+(H31*H$59)+(I31*I$59)</f>
        <v>0</v>
      </c>
      <c r="K31" s="15" t="str">
        <f t="shared" si="0"/>
        <v/>
      </c>
      <c r="L31" s="20" t="str">
        <f t="shared" si="1"/>
        <v/>
      </c>
      <c r="M31" s="20" t="s">
        <v>258</v>
      </c>
      <c r="N31" s="20"/>
      <c r="O31" s="20"/>
      <c r="P31" s="1"/>
      <c r="Q31" s="1"/>
      <c r="R31" s="17">
        <f>SUM(K31:Q31)</f>
        <v>0</v>
      </c>
      <c r="T31" s="14">
        <f>R31+J31</f>
        <v>0</v>
      </c>
      <c r="V31" s="28">
        <v>3</v>
      </c>
      <c r="W31" s="29">
        <v>45774</v>
      </c>
      <c r="X31" s="45">
        <v>-960</v>
      </c>
      <c r="Y31" s="45">
        <v>-545</v>
      </c>
      <c r="Z31" s="45">
        <v>-415</v>
      </c>
      <c r="AA31" s="45">
        <v>1920</v>
      </c>
    </row>
    <row r="32" spans="2:36" x14ac:dyDescent="0.3">
      <c r="B32" s="67"/>
      <c r="C32" s="4" t="s">
        <v>137</v>
      </c>
      <c r="D32" s="18">
        <v>5</v>
      </c>
      <c r="E32" s="1"/>
      <c r="F32" s="1"/>
      <c r="G32" s="1"/>
      <c r="H32" s="1"/>
      <c r="I32" s="1"/>
      <c r="J32" s="19">
        <f>(D32*D$59)+(E32*E$59)+(F32*F$59)+(G32*G$59)+(H32*H$59)+(I32*I$59)</f>
        <v>25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25</v>
      </c>
      <c r="V32" s="28">
        <v>4</v>
      </c>
      <c r="W32" s="29">
        <v>45774</v>
      </c>
      <c r="X32" s="45">
        <v>-795</v>
      </c>
      <c r="Y32" s="45">
        <v>1970</v>
      </c>
      <c r="Z32" s="45">
        <v>-955</v>
      </c>
      <c r="AA32" s="45">
        <v>-220</v>
      </c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327</v>
      </c>
      <c r="D33" s="9"/>
      <c r="E33" s="10"/>
      <c r="F33" s="10"/>
      <c r="G33" s="10"/>
      <c r="H33" s="10"/>
      <c r="I33" s="10"/>
      <c r="J33" s="11">
        <f>(D33*D$59)+(E33*E$59)+(F33*F$59)+(G33*G$59)+(H33*H$59)+(I33*I$59)</f>
        <v>0</v>
      </c>
      <c r="K33" s="12" t="str">
        <f t="shared" si="0"/>
        <v/>
      </c>
      <c r="L33" s="12" t="str">
        <f t="shared" si="1"/>
        <v/>
      </c>
      <c r="M33" s="12" t="s">
        <v>258</v>
      </c>
      <c r="N33" s="12"/>
      <c r="O33" s="12"/>
      <c r="P33" s="10"/>
      <c r="Q33" s="10"/>
      <c r="R33" s="13">
        <f>SUM(K33:Q33)</f>
        <v>0</v>
      </c>
      <c r="T33" s="22">
        <f>(R33+J33)</f>
        <v>0</v>
      </c>
      <c r="V33" s="28">
        <v>5</v>
      </c>
      <c r="W33" s="29">
        <v>45775</v>
      </c>
      <c r="X33" s="28">
        <f>T34-T52</f>
        <v>-1605</v>
      </c>
      <c r="Y33" s="28">
        <f>T40-T52</f>
        <v>-670</v>
      </c>
      <c r="Z33" s="28">
        <f>T46-T52</f>
        <v>-1050</v>
      </c>
      <c r="AA33" s="28">
        <f>-(X33+Y33+Z33)</f>
        <v>3325</v>
      </c>
      <c r="AC33" s="28" t="s">
        <v>211</v>
      </c>
      <c r="AD33" s="28">
        <f>T34</f>
        <v>615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62">
        <f>SUM(T29:T33)</f>
        <v>615</v>
      </c>
      <c r="V34" s="28">
        <v>6</v>
      </c>
      <c r="W34" s="29"/>
      <c r="X34" s="28"/>
      <c r="Y34" s="28"/>
      <c r="Z34" s="28"/>
      <c r="AA34" s="28"/>
      <c r="AC34" s="28" t="s">
        <v>96</v>
      </c>
      <c r="AD34" s="28">
        <f>T40</f>
        <v>1550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61" t="s">
        <v>120</v>
      </c>
      <c r="D35" s="23">
        <v>84</v>
      </c>
      <c r="E35" s="6"/>
      <c r="F35" s="6"/>
      <c r="G35" s="6"/>
      <c r="H35" s="6"/>
      <c r="I35" s="6"/>
      <c r="J35" s="7">
        <f>(D35*D$59)+(E35*E$59)+(F35*F$59)+(G35*G$59)+(H35*H$59)+(I35*I$59)</f>
        <v>420</v>
      </c>
      <c r="K35" s="23">
        <f t="shared" ref="K35:K39" si="2">IF(D35&gt;=100, 250, IF(D35&gt;=50, 150, IF(D35&gt;=30, 50, "")))</f>
        <v>150</v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150</v>
      </c>
      <c r="T35" s="33">
        <f>(R35+J35)*2</f>
        <v>1140</v>
      </c>
      <c r="V35" s="28">
        <v>7</v>
      </c>
      <c r="W35" s="29"/>
      <c r="X35" s="28"/>
      <c r="Y35" s="28"/>
      <c r="Z35" s="28"/>
      <c r="AA35" s="28"/>
      <c r="AC35" s="28" t="s">
        <v>97</v>
      </c>
      <c r="AD35" s="28">
        <f>T46</f>
        <v>1170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61</v>
      </c>
      <c r="D36" s="20">
        <v>32</v>
      </c>
      <c r="E36" s="1"/>
      <c r="F36" s="1"/>
      <c r="G36" s="1"/>
      <c r="H36" s="1">
        <v>2</v>
      </c>
      <c r="I36" s="1"/>
      <c r="J36" s="19">
        <f>(D36*D$59)+(E36*E$59)+(F36*F$59)+(G36*G$59)+(H36*H$59)+(I36*I$59)</f>
        <v>260</v>
      </c>
      <c r="K36" s="15">
        <f t="shared" si="2"/>
        <v>50</v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50</v>
      </c>
      <c r="T36" s="14">
        <f>R36+J36</f>
        <v>310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2220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132</v>
      </c>
      <c r="D37" s="20"/>
      <c r="E37" s="1">
        <v>1</v>
      </c>
      <c r="F37" s="1"/>
      <c r="G37" s="1"/>
      <c r="H37" s="1"/>
      <c r="I37" s="1"/>
      <c r="J37" s="19">
        <f>(D37*D$59)+(E37*E$59)+(F37*F$59)+(G37*G$59)+(H37*H$59)+(I37*I$59)</f>
        <v>100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100</v>
      </c>
      <c r="V37" s="28"/>
      <c r="W37" s="29"/>
      <c r="X37" s="28"/>
      <c r="Y37" s="28"/>
      <c r="Z37" s="28"/>
      <c r="AA37" s="28"/>
      <c r="AF37" s="49" t="s">
        <v>284</v>
      </c>
      <c r="AG37" s="49">
        <v>7915</v>
      </c>
      <c r="AH37" s="49">
        <v>-8325</v>
      </c>
      <c r="AI37" s="49">
        <v>-2815</v>
      </c>
      <c r="AJ37" s="49">
        <v>3225</v>
      </c>
    </row>
    <row r="38" spans="2:36" x14ac:dyDescent="0.3">
      <c r="B38" s="67"/>
      <c r="C38" s="19" t="s">
        <v>139</v>
      </c>
      <c r="D38" s="20"/>
      <c r="E38" s="1"/>
      <c r="F38" s="1"/>
      <c r="G38" s="1"/>
      <c r="H38" s="1"/>
      <c r="I38" s="1"/>
      <c r="J38" s="19">
        <f>(D38*D$59)+(E38*E$59)+(F38*F$59)+(G38*G$59)+(H38*H$59)+(I38*I$59)</f>
        <v>0</v>
      </c>
      <c r="K38" s="15" t="str">
        <f t="shared" si="2"/>
        <v/>
      </c>
      <c r="L38" s="20" t="str">
        <f t="shared" si="3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0</v>
      </c>
      <c r="V38" s="28"/>
      <c r="W38" s="29"/>
      <c r="X38" s="28"/>
      <c r="Y38" s="28"/>
      <c r="Z38" s="28"/>
      <c r="AA38" s="28"/>
      <c r="AF38" s="49" t="s">
        <v>308</v>
      </c>
      <c r="AG38" s="49">
        <f>X28</f>
        <v>-3355</v>
      </c>
      <c r="AH38" s="49">
        <f>Y28</f>
        <v>4450</v>
      </c>
      <c r="AI38" s="49">
        <f>Z28</f>
        <v>-4670</v>
      </c>
      <c r="AJ38" s="49">
        <f>AA28</f>
        <v>3575</v>
      </c>
    </row>
    <row r="39" spans="2:36" ht="15" thickBot="1" x14ac:dyDescent="0.35">
      <c r="B39" s="68"/>
      <c r="C39" s="11" t="s">
        <v>325</v>
      </c>
      <c r="D39" s="12"/>
      <c r="E39" s="10"/>
      <c r="F39" s="10"/>
      <c r="G39" s="10"/>
      <c r="H39" s="10"/>
      <c r="I39" s="10"/>
      <c r="J39" s="11">
        <f>(D39*D$59)+(E39*E$59)+(F39*F$59)+(G39*G$59)+(H39*H$59)+(I39*I$59)</f>
        <v>0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0</v>
      </c>
      <c r="V39" s="28"/>
      <c r="W39" s="29"/>
      <c r="X39" s="28"/>
      <c r="Y39" s="28"/>
      <c r="Z39" s="28"/>
      <c r="AA39" s="28"/>
      <c r="AF39" s="49" t="s">
        <v>0</v>
      </c>
      <c r="AG39" s="49">
        <f>SUM(AG33:AG38)</f>
        <v>10275</v>
      </c>
      <c r="AH39" s="49">
        <f t="shared" ref="AH39:AJ39" si="4">SUM(AH33:AH38)</f>
        <v>1200</v>
      </c>
      <c r="AI39" s="49">
        <f t="shared" si="4"/>
        <v>-1345</v>
      </c>
      <c r="AJ39" s="49">
        <f t="shared" si="4"/>
        <v>-10130</v>
      </c>
    </row>
    <row r="40" spans="2:36" ht="15" thickBot="1" x14ac:dyDescent="0.35">
      <c r="K40" s="2" t="s">
        <v>258</v>
      </c>
      <c r="L40" s="2" t="s">
        <v>258</v>
      </c>
      <c r="T40" s="62">
        <f>SUM(T35:T39)</f>
        <v>1550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61" t="s">
        <v>167</v>
      </c>
      <c r="D41" s="23">
        <v>50</v>
      </c>
      <c r="E41" s="6"/>
      <c r="F41" s="6"/>
      <c r="G41" s="6"/>
      <c r="H41" s="6"/>
      <c r="I41" s="6"/>
      <c r="J41" s="7">
        <f>(D41*D$59)+(E41*E$59)+(F41*F$59)+(G41*G$59)+(H41*H$59)+(I41*I$59)</f>
        <v>250</v>
      </c>
      <c r="K41" s="23">
        <f t="shared" ref="K41:K45" si="5">IF(D41&gt;=100, 250, IF(D41&gt;=50, 150, IF(D41&gt;=30, 50, "")))</f>
        <v>150</v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150</v>
      </c>
      <c r="T41" s="33">
        <f>(R41+J41)*2</f>
        <v>800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78</v>
      </c>
      <c r="D42" s="20">
        <v>4</v>
      </c>
      <c r="E42" s="1"/>
      <c r="F42" s="1"/>
      <c r="G42" s="1"/>
      <c r="H42" s="1"/>
      <c r="I42" s="1"/>
      <c r="J42" s="19">
        <f>(D42*D$59)+(E42*E$59)+(F42*F$59)+(G42*G$59)+(H42*H$59)+(I42*I$59)</f>
        <v>20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20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135</v>
      </c>
      <c r="D43" s="20"/>
      <c r="E43" s="1">
        <v>1</v>
      </c>
      <c r="F43" s="1"/>
      <c r="G43" s="1"/>
      <c r="H43" s="1"/>
      <c r="I43" s="1"/>
      <c r="J43" s="19">
        <f>(D43*D$59)+(E43*E$59)+(F43*F$59)+(G43*G$59)+(H43*H$59)+(I43*I$59)</f>
        <v>100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100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326</v>
      </c>
      <c r="D44" s="20"/>
      <c r="E44" s="1"/>
      <c r="F44" s="1"/>
      <c r="G44" s="1"/>
      <c r="H44" s="1"/>
      <c r="I44" s="1"/>
      <c r="J44" s="19">
        <f>(D44*D$59)+(E44*E$59)+(F44*F$59)+(G44*G$59)+(H44*H$59)+(I44*I$59)</f>
        <v>0</v>
      </c>
      <c r="K44" s="15" t="str">
        <f t="shared" si="5"/>
        <v/>
      </c>
      <c r="L44" s="20" t="str">
        <f t="shared" si="6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178</v>
      </c>
      <c r="D45" s="12"/>
      <c r="E45" s="10">
        <v>2</v>
      </c>
      <c r="F45" s="10"/>
      <c r="G45" s="10"/>
      <c r="H45" s="10"/>
      <c r="I45" s="10"/>
      <c r="J45" s="11">
        <f>(D45*D$59)+(E45*E$59)+(F45*F$59)+(G45*G$59)+(H45*H$59)+(I45*I$59)</f>
        <v>200</v>
      </c>
      <c r="K45" s="12" t="str">
        <f t="shared" si="5"/>
        <v/>
      </c>
      <c r="L45" s="12">
        <f t="shared" si="6"/>
        <v>50</v>
      </c>
      <c r="M45" s="12"/>
      <c r="N45" s="12"/>
      <c r="O45" s="12"/>
      <c r="P45" s="10"/>
      <c r="Q45" s="10"/>
      <c r="R45" s="13">
        <f>SUM(K45:Q45)</f>
        <v>50</v>
      </c>
      <c r="T45" s="34">
        <f>R45+J45</f>
        <v>250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62">
        <f>SUM(T41:T45)</f>
        <v>1170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61" t="s">
        <v>180</v>
      </c>
      <c r="D47" s="23">
        <v>70</v>
      </c>
      <c r="E47" s="6"/>
      <c r="F47" s="6"/>
      <c r="G47" s="6"/>
      <c r="H47" s="6"/>
      <c r="I47" s="6"/>
      <c r="J47" s="7">
        <f>(D47*D$59)+(E47*E$59)+(F47*F$59)+(G47*G$59)+(H47*H$59)+(I47*I$59)</f>
        <v>350</v>
      </c>
      <c r="K47" s="23">
        <f t="shared" ref="K47:K51" si="7">IF(D47&gt;=100, 250, IF(D47&gt;=50, 150, IF(D47&gt;=30, 50, "")))</f>
        <v>150</v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150</v>
      </c>
      <c r="T47" s="33">
        <f>(R47+J47)*2</f>
        <v>1000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293</v>
      </c>
      <c r="D48" s="20">
        <v>101</v>
      </c>
      <c r="E48" s="1"/>
      <c r="F48" s="1"/>
      <c r="G48" s="1"/>
      <c r="H48" s="1"/>
      <c r="I48" s="1"/>
      <c r="J48" s="19">
        <f>(D48*D$59)+(E48*E$59)+(F48*F$59)+(G48*G$59)+(H48*H$59)+(I48*I$59)</f>
        <v>505</v>
      </c>
      <c r="K48" s="15">
        <f t="shared" si="7"/>
        <v>250</v>
      </c>
      <c r="L48" s="20" t="str">
        <f t="shared" si="8"/>
        <v/>
      </c>
      <c r="M48" s="20"/>
      <c r="N48" s="20"/>
      <c r="O48" s="20">
        <v>300</v>
      </c>
      <c r="P48" s="1"/>
      <c r="Q48" s="1"/>
      <c r="R48" s="17">
        <f>SUM(K48:Q48)</f>
        <v>550</v>
      </c>
      <c r="T48" s="14">
        <f>R48+J48</f>
        <v>1055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230</v>
      </c>
      <c r="D49" s="20">
        <v>13</v>
      </c>
      <c r="E49" s="1"/>
      <c r="F49" s="1"/>
      <c r="G49" s="1"/>
      <c r="H49" s="1"/>
      <c r="I49" s="1"/>
      <c r="J49" s="19">
        <f>(D49*D$59)+(E49*E$59)+(F49*F$59)+(G49*G$59)+(H49*H$59)+(I49*I$59)</f>
        <v>65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65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21</v>
      </c>
      <c r="D50" s="20"/>
      <c r="E50" s="1"/>
      <c r="F50" s="1"/>
      <c r="G50" s="1"/>
      <c r="H50" s="1"/>
      <c r="I50" s="1"/>
      <c r="J50" s="19">
        <f>(D50*D$59)+(E50*E$59)+(F50*F$59)+(G50*G$59)+(H50*H$59)+(I50*I$59)</f>
        <v>0</v>
      </c>
      <c r="K50" s="15" t="str">
        <f t="shared" si="7"/>
        <v/>
      </c>
      <c r="L50" s="20" t="str">
        <f t="shared" si="8"/>
        <v/>
      </c>
      <c r="M50" s="20" t="s">
        <v>258</v>
      </c>
      <c r="N50" s="20"/>
      <c r="O50" s="20"/>
      <c r="P50" s="1"/>
      <c r="Q50" s="1"/>
      <c r="R50" s="17">
        <f>SUM(K50:Q50)</f>
        <v>0</v>
      </c>
      <c r="T50" s="14">
        <f>R50+J50</f>
        <v>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63</v>
      </c>
      <c r="D51" s="12"/>
      <c r="E51" s="10">
        <v>1</v>
      </c>
      <c r="F51" s="10"/>
      <c r="G51" s="10"/>
      <c r="H51" s="10"/>
      <c r="I51" s="10"/>
      <c r="J51" s="11">
        <f>(D51*D$59)+(E51*E$59)+(F51*F$59)+(G51*G$59)+(H51*H$59)+(I51*I$59)</f>
        <v>100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100</v>
      </c>
      <c r="V51" s="28"/>
      <c r="W51" s="29"/>
      <c r="X51" s="28"/>
      <c r="Y51" s="28"/>
      <c r="Z51" s="28"/>
      <c r="AA51" s="28"/>
    </row>
    <row r="52" spans="2:30" ht="15" thickBot="1" x14ac:dyDescent="0.35">
      <c r="T52" s="62">
        <f>SUM(T47:T51)</f>
        <v>2220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-1750</v>
      </c>
      <c r="Y60" s="42">
        <f>SUM(Y61:Y68)</f>
        <v>5120</v>
      </c>
      <c r="Z60" s="42">
        <f>SUM(Z61:Z68)</f>
        <v>-3620</v>
      </c>
      <c r="AA60" s="42">
        <f>SUM(AA61:AA68)</f>
        <v>250</v>
      </c>
    </row>
    <row r="61" spans="2:30" x14ac:dyDescent="0.3">
      <c r="B61" s="66" t="s">
        <v>211</v>
      </c>
      <c r="C61" s="38" t="s">
        <v>20</v>
      </c>
      <c r="D61" s="5">
        <v>22</v>
      </c>
      <c r="E61" s="6"/>
      <c r="F61" s="6"/>
      <c r="G61" s="6"/>
      <c r="H61" s="6"/>
      <c r="I61" s="6"/>
      <c r="J61" s="7">
        <f>(D61*D$59)+(E61*E$59)+(F61*F$59)+(G61*G$59)+(H61*H$59)+(I61*I$59)</f>
        <v>110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220</v>
      </c>
      <c r="V61" s="28">
        <v>1</v>
      </c>
      <c r="W61" s="29" t="s">
        <v>312</v>
      </c>
      <c r="X61" s="28">
        <v>-1750</v>
      </c>
      <c r="Y61" s="28">
        <v>4045</v>
      </c>
      <c r="Z61" s="28">
        <v>-1280</v>
      </c>
      <c r="AA61" s="28">
        <v>-1015</v>
      </c>
    </row>
    <row r="62" spans="2:30" x14ac:dyDescent="0.3">
      <c r="B62" s="67"/>
      <c r="C62" s="4" t="s">
        <v>320</v>
      </c>
      <c r="D62" s="18">
        <v>12</v>
      </c>
      <c r="E62" s="1"/>
      <c r="F62" s="1"/>
      <c r="G62" s="1"/>
      <c r="H62" s="1">
        <v>1</v>
      </c>
      <c r="I62" s="1"/>
      <c r="J62" s="19">
        <f t="shared" ref="J62:J65" si="9">(D62*D$59)+(E62*E$59)+(F62*F$59)+(G62*G$59)+(H62*H$59)+(I62*I$59)</f>
        <v>110</v>
      </c>
      <c r="K62" s="15" t="str">
        <f t="shared" ref="K62:K65" si="10">IF(D62&gt;=100, 250, IF(D62&gt;=50, 150, IF(D62&gt;=30, 50, "")))</f>
        <v/>
      </c>
      <c r="L62" s="20" t="str">
        <f t="shared" ref="L62:L65" si="11">IF(E62=5, 200, IF(E62=3, 150, IF(E62=2, 50, "")))</f>
        <v/>
      </c>
      <c r="M62" s="20" t="s">
        <v>258</v>
      </c>
      <c r="N62" s="20"/>
      <c r="O62" s="20"/>
      <c r="P62" s="1"/>
      <c r="Q62" s="1"/>
      <c r="R62" s="17">
        <f>SUM(K62:Q62)</f>
        <v>0</v>
      </c>
      <c r="T62" s="14">
        <f>R62+J62</f>
        <v>110</v>
      </c>
      <c r="V62" s="28">
        <v>2</v>
      </c>
      <c r="W62" s="29">
        <v>45772</v>
      </c>
      <c r="X62" s="45">
        <v>1755</v>
      </c>
      <c r="Y62" s="45">
        <v>-350</v>
      </c>
      <c r="Z62" s="45">
        <v>-970</v>
      </c>
      <c r="AA62" s="45">
        <v>-435</v>
      </c>
    </row>
    <row r="63" spans="2:30" x14ac:dyDescent="0.3">
      <c r="B63" s="67"/>
      <c r="C63" s="4" t="s">
        <v>321</v>
      </c>
      <c r="D63" s="18"/>
      <c r="E63" s="1">
        <v>2</v>
      </c>
      <c r="F63" s="1"/>
      <c r="G63" s="1"/>
      <c r="H63" s="1">
        <v>1</v>
      </c>
      <c r="I63" s="1"/>
      <c r="J63" s="19">
        <f t="shared" si="9"/>
        <v>250</v>
      </c>
      <c r="K63" s="15" t="str">
        <f t="shared" si="10"/>
        <v/>
      </c>
      <c r="L63" s="20">
        <f t="shared" si="11"/>
        <v>50</v>
      </c>
      <c r="M63" s="20" t="s">
        <v>258</v>
      </c>
      <c r="N63" s="20"/>
      <c r="O63" s="20"/>
      <c r="P63" s="1"/>
      <c r="Q63" s="1"/>
      <c r="R63" s="17">
        <f>SUM(K63:Q63)</f>
        <v>50</v>
      </c>
      <c r="T63" s="14">
        <f>R63+J63</f>
        <v>300</v>
      </c>
      <c r="V63" s="28">
        <v>3</v>
      </c>
      <c r="W63" s="29">
        <v>45774</v>
      </c>
      <c r="X63" s="45">
        <v>-960</v>
      </c>
      <c r="Y63" s="45">
        <v>-545</v>
      </c>
      <c r="Z63" s="45">
        <v>-415</v>
      </c>
      <c r="AA63" s="45">
        <v>1920</v>
      </c>
      <c r="AC63" s="50" t="s">
        <v>5</v>
      </c>
      <c r="AD63" s="50" t="s">
        <v>235</v>
      </c>
    </row>
    <row r="64" spans="2:30" x14ac:dyDescent="0.3">
      <c r="B64" s="67"/>
      <c r="C64" s="4" t="s">
        <v>322</v>
      </c>
      <c r="D64" s="18"/>
      <c r="E64" s="1"/>
      <c r="F64" s="1"/>
      <c r="G64" s="1"/>
      <c r="H64" s="1"/>
      <c r="I64" s="1"/>
      <c r="J64" s="19">
        <f t="shared" si="9"/>
        <v>0</v>
      </c>
      <c r="K64" s="15" t="str">
        <f t="shared" si="10"/>
        <v/>
      </c>
      <c r="L64" s="20" t="str">
        <f t="shared" si="11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29">
        <v>45774</v>
      </c>
      <c r="X64" s="45">
        <f>T66-T72</f>
        <v>-795</v>
      </c>
      <c r="Y64" s="45">
        <f>-(X64+Z64+AA64)</f>
        <v>1970</v>
      </c>
      <c r="Z64" s="45">
        <f>T78-T72</f>
        <v>-955</v>
      </c>
      <c r="AA64" s="45">
        <f>T84-T72</f>
        <v>-220</v>
      </c>
      <c r="AC64" s="28" t="s">
        <v>211</v>
      </c>
      <c r="AD64" s="28">
        <f>T66</f>
        <v>730</v>
      </c>
    </row>
    <row r="65" spans="2:30" ht="15" thickBot="1" x14ac:dyDescent="0.35">
      <c r="B65" s="68"/>
      <c r="C65" s="21" t="s">
        <v>304</v>
      </c>
      <c r="D65" s="9"/>
      <c r="E65" s="10">
        <v>1</v>
      </c>
      <c r="F65" s="10"/>
      <c r="G65" s="10"/>
      <c r="H65" s="10"/>
      <c r="I65" s="10"/>
      <c r="J65" s="11">
        <f t="shared" si="9"/>
        <v>100</v>
      </c>
      <c r="K65" s="12" t="str">
        <f t="shared" si="10"/>
        <v/>
      </c>
      <c r="L65" s="12" t="str">
        <f t="shared" si="11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100</v>
      </c>
      <c r="V65" s="28">
        <v>5</v>
      </c>
      <c r="W65" s="29"/>
      <c r="X65" s="28"/>
      <c r="Y65" s="28"/>
      <c r="Z65" s="28"/>
      <c r="AA65" s="28"/>
      <c r="AC65" s="28" t="s">
        <v>96</v>
      </c>
      <c r="AD65" s="28">
        <f>T72</f>
        <v>1525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730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570</v>
      </c>
    </row>
    <row r="67" spans="2:30" x14ac:dyDescent="0.3">
      <c r="B67" s="66" t="s">
        <v>96</v>
      </c>
      <c r="C67" s="39" t="s">
        <v>19</v>
      </c>
      <c r="D67" s="23">
        <v>51</v>
      </c>
      <c r="E67" s="6"/>
      <c r="F67" s="6">
        <v>1</v>
      </c>
      <c r="G67" s="6"/>
      <c r="H67" s="6">
        <v>1</v>
      </c>
      <c r="I67" s="6"/>
      <c r="J67" s="7">
        <f>(D67*D$59)+(E67*E$59)+(F67*F$59)+(G67*G$59)+(H67*H$59)+(I67*I$59)</f>
        <v>355</v>
      </c>
      <c r="K67" s="23">
        <f t="shared" ref="K67:K71" si="12">IF(D67&gt;=100, 250, IF(D67&gt;=50, 150, IF(D67&gt;=30, 50, "")))</f>
        <v>150</v>
      </c>
      <c r="L67" s="23" t="str">
        <f t="shared" ref="L67:L71" si="13">IF(E67=5, 200, IF(E67=3, 150, IF(E67=2, 50, "")))</f>
        <v/>
      </c>
      <c r="M67" s="23"/>
      <c r="N67" s="23"/>
      <c r="O67" s="23"/>
      <c r="P67" s="6"/>
      <c r="Q67" s="6"/>
      <c r="R67" s="24">
        <f>SUM(K67:Q67)</f>
        <v>150</v>
      </c>
      <c r="T67" s="33">
        <f>(R67+J67)*2</f>
        <v>1010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1305</v>
      </c>
    </row>
    <row r="68" spans="2:30" x14ac:dyDescent="0.3">
      <c r="B68" s="67"/>
      <c r="C68" s="19" t="s">
        <v>71</v>
      </c>
      <c r="D68" s="20">
        <v>28</v>
      </c>
      <c r="E68" s="1"/>
      <c r="F68" s="1"/>
      <c r="G68" s="1"/>
      <c r="H68" s="1"/>
      <c r="I68" s="1"/>
      <c r="J68" s="19">
        <f t="shared" ref="J68:J71" si="14">(D68*D$59)+(E68*E$59)+(F68*F$59)+(G68*G$59)+(H68*H$59)+(I68*I$59)</f>
        <v>140</v>
      </c>
      <c r="K68" s="15" t="str">
        <f t="shared" si="12"/>
        <v/>
      </c>
      <c r="L68" s="20" t="str">
        <f t="shared" si="13"/>
        <v/>
      </c>
      <c r="M68" s="20"/>
      <c r="N68" s="20"/>
      <c r="O68" s="20"/>
      <c r="P68" s="1"/>
      <c r="Q68" s="1"/>
      <c r="R68" s="17">
        <f>SUM(K68:Q68)</f>
        <v>0</v>
      </c>
      <c r="T68" s="14">
        <f>R68+J68</f>
        <v>140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44</v>
      </c>
      <c r="D69" s="20">
        <v>15</v>
      </c>
      <c r="E69" s="1">
        <v>2</v>
      </c>
      <c r="F69" s="1"/>
      <c r="G69" s="1"/>
      <c r="H69" s="1"/>
      <c r="I69" s="1"/>
      <c r="J69" s="19">
        <f t="shared" si="14"/>
        <v>275</v>
      </c>
      <c r="K69" s="15" t="str">
        <f t="shared" si="12"/>
        <v/>
      </c>
      <c r="L69" s="20">
        <f t="shared" si="13"/>
        <v>50</v>
      </c>
      <c r="M69" s="20"/>
      <c r="N69" s="20"/>
      <c r="O69" s="20"/>
      <c r="P69" s="1"/>
      <c r="Q69" s="1"/>
      <c r="R69" s="17">
        <f>SUM(K69:Q69)</f>
        <v>50</v>
      </c>
      <c r="T69" s="14">
        <f>R69+J69</f>
        <v>325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65</v>
      </c>
      <c r="D70" s="20"/>
      <c r="E70" s="1"/>
      <c r="F70" s="1"/>
      <c r="G70" s="1"/>
      <c r="H70" s="1">
        <v>1</v>
      </c>
      <c r="I70" s="1"/>
      <c r="J70" s="19">
        <f t="shared" si="14"/>
        <v>50</v>
      </c>
      <c r="K70" s="15" t="str">
        <f t="shared" si="12"/>
        <v/>
      </c>
      <c r="L70" s="20" t="str">
        <f t="shared" si="13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50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62</v>
      </c>
      <c r="D71" s="12"/>
      <c r="E71" s="10"/>
      <c r="F71" s="10"/>
      <c r="G71" s="10"/>
      <c r="H71" s="10"/>
      <c r="I71" s="10"/>
      <c r="J71" s="11">
        <f t="shared" si="14"/>
        <v>0</v>
      </c>
      <c r="K71" s="12" t="str">
        <f t="shared" si="12"/>
        <v/>
      </c>
      <c r="L71" s="12" t="str">
        <f t="shared" si="13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1525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323</v>
      </c>
      <c r="D73" s="23">
        <v>4</v>
      </c>
      <c r="E73" s="6"/>
      <c r="F73" s="6">
        <v>2</v>
      </c>
      <c r="G73" s="6"/>
      <c r="H73" s="6">
        <v>1</v>
      </c>
      <c r="I73" s="6"/>
      <c r="J73" s="7">
        <f>(D73*D$59)+(E73*E$59)+(F73*F$59)+(G73*G$59)+(H73*H$59)+(I73*I$59)</f>
        <v>170</v>
      </c>
      <c r="K73" s="23" t="str">
        <f t="shared" ref="K73:K77" si="15">IF(D73&gt;=100, 250, IF(D73&gt;=50, 150, IF(D73&gt;=30, 50, "")))</f>
        <v/>
      </c>
      <c r="L73" s="23" t="str">
        <f t="shared" ref="L73:L77" si="16">IF(E73=5, 200, IF(E73=3, 150, IF(E73=2, 50, "")))</f>
        <v/>
      </c>
      <c r="M73" s="23"/>
      <c r="N73" s="23"/>
      <c r="O73" s="23"/>
      <c r="P73" s="6"/>
      <c r="Q73" s="6"/>
      <c r="R73" s="24">
        <f>SUM(K73:Q73)</f>
        <v>0</v>
      </c>
      <c r="T73" s="33">
        <f>(R73+J73)*2</f>
        <v>340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324</v>
      </c>
      <c r="D74" s="20">
        <v>0</v>
      </c>
      <c r="E74" s="1"/>
      <c r="F74" s="1"/>
      <c r="G74" s="1"/>
      <c r="H74" s="1"/>
      <c r="I74" s="1">
        <v>1</v>
      </c>
      <c r="J74" s="19">
        <f t="shared" ref="J74:J77" si="17">(D74*D$59)+(E74*E$59)+(F74*F$59)+(G74*G$59)+(H74*H$59)+(I74*I$59)</f>
        <v>-50</v>
      </c>
      <c r="K74" s="15" t="str">
        <f t="shared" si="15"/>
        <v/>
      </c>
      <c r="L74" s="20" t="str">
        <f t="shared" si="16"/>
        <v/>
      </c>
      <c r="M74" s="20"/>
      <c r="N74" s="20"/>
      <c r="O74" s="20"/>
      <c r="P74" s="1"/>
      <c r="Q74" s="1"/>
      <c r="R74" s="17">
        <f>SUM(K74:Q74)</f>
        <v>0</v>
      </c>
      <c r="T74" s="14">
        <f>R74+J74</f>
        <v>-50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45</v>
      </c>
      <c r="D75" s="20">
        <v>34</v>
      </c>
      <c r="E75" s="1"/>
      <c r="F75" s="1"/>
      <c r="G75" s="1"/>
      <c r="H75" s="1"/>
      <c r="I75" s="1"/>
      <c r="J75" s="19">
        <f t="shared" si="17"/>
        <v>170</v>
      </c>
      <c r="K75" s="15">
        <f t="shared" si="15"/>
        <v>50</v>
      </c>
      <c r="L75" s="20" t="str">
        <f t="shared" si="16"/>
        <v/>
      </c>
      <c r="M75" s="20"/>
      <c r="N75" s="20"/>
      <c r="O75" s="20"/>
      <c r="P75" s="1"/>
      <c r="Q75" s="1"/>
      <c r="R75" s="17">
        <f>SUM(K75:Q75)</f>
        <v>50</v>
      </c>
      <c r="T75" s="14">
        <f>R75+J75</f>
        <v>220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175</v>
      </c>
      <c r="D76" s="20">
        <v>12</v>
      </c>
      <c r="E76" s="1"/>
      <c r="F76" s="1"/>
      <c r="G76" s="1"/>
      <c r="H76" s="1"/>
      <c r="I76" s="1"/>
      <c r="J76" s="19">
        <f t="shared" si="17"/>
        <v>60</v>
      </c>
      <c r="K76" s="15" t="str">
        <f t="shared" si="15"/>
        <v/>
      </c>
      <c r="L76" s="20" t="str">
        <f t="shared" si="16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60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294</v>
      </c>
      <c r="D77" s="12"/>
      <c r="E77" s="10"/>
      <c r="F77" s="10"/>
      <c r="G77" s="10"/>
      <c r="H77" s="10"/>
      <c r="I77" s="10"/>
      <c r="J77" s="11">
        <f t="shared" si="17"/>
        <v>0</v>
      </c>
      <c r="K77" s="12" t="str">
        <f t="shared" si="15"/>
        <v/>
      </c>
      <c r="L77" s="12" t="str">
        <f t="shared" si="16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570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256</v>
      </c>
      <c r="D79" s="23">
        <v>41</v>
      </c>
      <c r="E79" s="6"/>
      <c r="F79" s="6"/>
      <c r="G79" s="6"/>
      <c r="H79" s="6"/>
      <c r="I79" s="6"/>
      <c r="J79" s="7">
        <f>(D79*D$59)+(E79*E$59)+(F79*F$59)+(G79*G$59)+(H79*H$59)+(I79*I$59)</f>
        <v>205</v>
      </c>
      <c r="K79" s="23">
        <f t="shared" ref="K79:K83" si="18">IF(D79&gt;=100, 250, IF(D79&gt;=50, 150, IF(D79&gt;=30, 50, "")))</f>
        <v>50</v>
      </c>
      <c r="L79" s="23" t="str">
        <f t="shared" ref="L79:L83" si="19">IF(E79=5, 200, IF(E79=3, 150, IF(E79=2, 50, "")))</f>
        <v/>
      </c>
      <c r="M79" s="23"/>
      <c r="N79" s="23"/>
      <c r="O79" s="23"/>
      <c r="P79" s="6"/>
      <c r="Q79" s="6"/>
      <c r="R79" s="24">
        <f>SUM(K79:Q79)</f>
        <v>50</v>
      </c>
      <c r="T79" s="33">
        <f>(R79+J79)*2</f>
        <v>510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35</v>
      </c>
      <c r="D80" s="20">
        <v>6</v>
      </c>
      <c r="E80" s="1"/>
      <c r="F80" s="1"/>
      <c r="G80" s="1"/>
      <c r="H80" s="1"/>
      <c r="I80" s="1"/>
      <c r="J80" s="19">
        <f t="shared" ref="J80:J83" si="20">(D80*D$59)+(E80*E$59)+(F80*F$59)+(G80*G$59)+(H80*H$59)+(I80*I$59)</f>
        <v>30</v>
      </c>
      <c r="K80" s="15" t="str">
        <f t="shared" si="18"/>
        <v/>
      </c>
      <c r="L80" s="20" t="str">
        <f t="shared" si="19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47</v>
      </c>
      <c r="D81" s="20"/>
      <c r="E81" s="1"/>
      <c r="F81" s="1"/>
      <c r="G81" s="1"/>
      <c r="H81" s="1">
        <v>1</v>
      </c>
      <c r="I81" s="1"/>
      <c r="J81" s="19">
        <f t="shared" si="20"/>
        <v>50</v>
      </c>
      <c r="K81" s="15" t="str">
        <f t="shared" si="18"/>
        <v/>
      </c>
      <c r="L81" s="20" t="str">
        <f t="shared" si="19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241</v>
      </c>
      <c r="D82" s="20">
        <v>73</v>
      </c>
      <c r="E82" s="1">
        <v>1</v>
      </c>
      <c r="F82" s="1"/>
      <c r="G82" s="1"/>
      <c r="H82" s="1"/>
      <c r="I82" s="1"/>
      <c r="J82" s="19">
        <f t="shared" si="20"/>
        <v>465</v>
      </c>
      <c r="K82" s="15">
        <f t="shared" si="18"/>
        <v>150</v>
      </c>
      <c r="L82" s="20" t="str">
        <f t="shared" si="19"/>
        <v/>
      </c>
      <c r="M82" s="20" t="s">
        <v>258</v>
      </c>
      <c r="N82" s="20"/>
      <c r="O82" s="20"/>
      <c r="P82" s="1"/>
      <c r="Q82" s="1"/>
      <c r="R82" s="17">
        <f>SUM(K82:Q82)</f>
        <v>150</v>
      </c>
      <c r="T82" s="14">
        <f>R82+J82</f>
        <v>615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200</v>
      </c>
      <c r="D83" s="12"/>
      <c r="E83" s="10">
        <v>1</v>
      </c>
      <c r="F83" s="10"/>
      <c r="G83" s="10"/>
      <c r="H83" s="10"/>
      <c r="I83" s="10"/>
      <c r="J83" s="11">
        <f t="shared" si="20"/>
        <v>100</v>
      </c>
      <c r="K83" s="12" t="str">
        <f t="shared" si="18"/>
        <v/>
      </c>
      <c r="L83" s="12" t="str">
        <f t="shared" si="19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1305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AJ84"/>
  <sheetViews>
    <sheetView topLeftCell="J1" zoomScale="90" zoomScaleNormal="90" workbookViewId="0">
      <selection activeCell="AD48" sqref="AD48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-3945</v>
      </c>
      <c r="Y28" s="42">
        <f>SUM(Y29:Y36)</f>
        <v>3680</v>
      </c>
      <c r="Z28" s="42">
        <f>SUM(Z29:Z36)</f>
        <v>-5055</v>
      </c>
      <c r="AA28" s="42">
        <f>SUM(AA29:AA36)</f>
        <v>5320</v>
      </c>
    </row>
    <row r="29" spans="2:36" x14ac:dyDescent="0.3">
      <c r="B29" s="66" t="s">
        <v>211</v>
      </c>
      <c r="C29" s="52" t="s">
        <v>297</v>
      </c>
      <c r="D29" s="5">
        <v>26</v>
      </c>
      <c r="E29" s="6"/>
      <c r="F29" s="6"/>
      <c r="G29" s="6"/>
      <c r="H29" s="6">
        <v>1</v>
      </c>
      <c r="I29" s="6"/>
      <c r="J29" s="7">
        <f>(D29*D$59)+(E29*E$59)+(F29*F$59)+(G29*G$59)+(H29*H$59)+(I29*I$59)</f>
        <v>180</v>
      </c>
      <c r="K29" s="15" t="str">
        <f>IF(D29&gt;=100, 250, IF(D29&gt;=50, 150, IF(D29&gt;=30, 50, "")))</f>
        <v/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0</v>
      </c>
      <c r="T29" s="14">
        <f>(R29+J29)*2</f>
        <v>360</v>
      </c>
      <c r="V29" s="28">
        <v>1</v>
      </c>
      <c r="W29" s="29">
        <v>45771</v>
      </c>
      <c r="X29" s="28">
        <v>-1750</v>
      </c>
      <c r="Y29" s="28">
        <v>4045</v>
      </c>
      <c r="Z29" s="28">
        <v>-1280</v>
      </c>
      <c r="AA29" s="28">
        <v>-1015</v>
      </c>
    </row>
    <row r="30" spans="2:36" x14ac:dyDescent="0.3">
      <c r="B30" s="67"/>
      <c r="C30" s="4" t="s">
        <v>71</v>
      </c>
      <c r="D30" s="18">
        <v>4</v>
      </c>
      <c r="E30" s="1"/>
      <c r="F30" s="1">
        <v>2</v>
      </c>
      <c r="G30" s="1"/>
      <c r="H30" s="1">
        <v>1</v>
      </c>
      <c r="I30" s="1"/>
      <c r="J30" s="19">
        <f>(D30*D$59)+(E30*E$59)+(F30*F$59)+(G30*G$59)+(H30*H$59)+(I30*I$59)</f>
        <v>170</v>
      </c>
      <c r="K30" s="15" t="str">
        <f t="shared" ref="K30:K33" si="0">IF(D30&gt;=100, 250, IF(D30&gt;=50, 150, IF(D30&gt;=30, 50, "")))</f>
        <v/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0</v>
      </c>
      <c r="T30" s="14">
        <f>R30+J30</f>
        <v>170</v>
      </c>
      <c r="V30" s="28">
        <v>2</v>
      </c>
      <c r="W30" s="29">
        <v>45772</v>
      </c>
      <c r="X30" s="45">
        <v>1755</v>
      </c>
      <c r="Y30" s="45">
        <v>-350</v>
      </c>
      <c r="Z30" s="45">
        <v>-970</v>
      </c>
      <c r="AA30" s="45">
        <v>-435</v>
      </c>
    </row>
    <row r="31" spans="2:36" x14ac:dyDescent="0.3">
      <c r="B31" s="67"/>
      <c r="C31" s="4" t="s">
        <v>145</v>
      </c>
      <c r="D31" s="18">
        <v>1</v>
      </c>
      <c r="E31" s="1">
        <v>2</v>
      </c>
      <c r="F31" s="1"/>
      <c r="G31" s="1"/>
      <c r="H31" s="1"/>
      <c r="I31" s="1"/>
      <c r="J31" s="19">
        <f>(D31*D$59)+(E31*E$59)+(F31*F$59)+(G31*G$59)+(H31*H$59)+(I31*I$59)</f>
        <v>205</v>
      </c>
      <c r="K31" s="15" t="str">
        <f t="shared" si="0"/>
        <v/>
      </c>
      <c r="L31" s="20">
        <f t="shared" si="1"/>
        <v>50</v>
      </c>
      <c r="M31" s="20" t="s">
        <v>258</v>
      </c>
      <c r="N31" s="20"/>
      <c r="O31" s="20"/>
      <c r="P31" s="1"/>
      <c r="Q31" s="1"/>
      <c r="R31" s="17">
        <f>SUM(K31:Q31)</f>
        <v>50</v>
      </c>
      <c r="T31" s="14">
        <f>R31+J31</f>
        <v>255</v>
      </c>
      <c r="V31" s="28">
        <v>3</v>
      </c>
      <c r="W31" s="29">
        <v>45774</v>
      </c>
      <c r="X31" s="45">
        <v>-960</v>
      </c>
      <c r="Y31" s="45">
        <v>-545</v>
      </c>
      <c r="Z31" s="45">
        <v>-415</v>
      </c>
      <c r="AA31" s="45">
        <v>1920</v>
      </c>
    </row>
    <row r="32" spans="2:36" x14ac:dyDescent="0.3">
      <c r="B32" s="67"/>
      <c r="C32" s="4" t="s">
        <v>45</v>
      </c>
      <c r="D32" s="18">
        <v>1</v>
      </c>
      <c r="E32" s="1"/>
      <c r="F32" s="1"/>
      <c r="G32" s="1"/>
      <c r="H32" s="1"/>
      <c r="I32" s="1"/>
      <c r="J32" s="19">
        <f>(D32*D$59)+(E32*E$59)+(F32*F$59)+(G32*G$59)+(H32*H$59)+(I32*I$59)</f>
        <v>5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5</v>
      </c>
      <c r="V32" s="28">
        <v>4</v>
      </c>
      <c r="W32" s="29">
        <v>45774</v>
      </c>
      <c r="X32" s="45">
        <v>-795</v>
      </c>
      <c r="Y32" s="45">
        <v>1970</v>
      </c>
      <c r="Z32" s="45">
        <v>-955</v>
      </c>
      <c r="AA32" s="45">
        <v>-220</v>
      </c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175</v>
      </c>
      <c r="D33" s="9">
        <v>38</v>
      </c>
      <c r="E33" s="10">
        <v>2</v>
      </c>
      <c r="F33" s="10"/>
      <c r="G33" s="10"/>
      <c r="H33" s="10">
        <v>1</v>
      </c>
      <c r="I33" s="10"/>
      <c r="J33" s="11">
        <f>(D33*D$59)+(E33*E$59)+(F33*F$59)+(G33*G$59)+(H33*H$59)+(I33*I$59)</f>
        <v>440</v>
      </c>
      <c r="K33" s="12">
        <f t="shared" si="0"/>
        <v>50</v>
      </c>
      <c r="L33" s="12">
        <f t="shared" si="1"/>
        <v>50</v>
      </c>
      <c r="M33" s="12" t="s">
        <v>258</v>
      </c>
      <c r="N33" s="12"/>
      <c r="O33" s="12"/>
      <c r="P33" s="10"/>
      <c r="Q33" s="10"/>
      <c r="R33" s="13">
        <f>SUM(K33:Q33)</f>
        <v>100</v>
      </c>
      <c r="T33" s="22">
        <f>(R33+J33)</f>
        <v>540</v>
      </c>
      <c r="V33" s="28">
        <v>5</v>
      </c>
      <c r="W33" s="29">
        <v>45775</v>
      </c>
      <c r="X33" s="28">
        <v>-1605</v>
      </c>
      <c r="Y33" s="28">
        <v>-670</v>
      </c>
      <c r="Z33" s="28">
        <v>-1050</v>
      </c>
      <c r="AA33" s="28">
        <v>3325</v>
      </c>
      <c r="AC33" s="28" t="s">
        <v>211</v>
      </c>
      <c r="AD33" s="28">
        <f>T34</f>
        <v>1330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54">
        <f>SUM(T29:T33)</f>
        <v>1330</v>
      </c>
      <c r="V34" s="28">
        <v>6</v>
      </c>
      <c r="W34" s="29">
        <v>45776</v>
      </c>
      <c r="X34" s="28">
        <f>T34-T52</f>
        <v>-590</v>
      </c>
      <c r="Y34" s="28">
        <f>T40-T52</f>
        <v>-770</v>
      </c>
      <c r="Z34" s="28">
        <f>T46-T52</f>
        <v>-385</v>
      </c>
      <c r="AA34" s="28">
        <f>-(X34+Y34+Z34)</f>
        <v>1745</v>
      </c>
      <c r="AC34" s="28" t="s">
        <v>96</v>
      </c>
      <c r="AD34" s="28">
        <f>T40</f>
        <v>1150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53" t="s">
        <v>176</v>
      </c>
      <c r="D35" s="23">
        <v>7</v>
      </c>
      <c r="E35" s="6"/>
      <c r="F35" s="6"/>
      <c r="G35" s="6"/>
      <c r="H35" s="6"/>
      <c r="I35" s="6"/>
      <c r="J35" s="7">
        <f>(D35*D$59)+(E35*E$59)+(F35*F$59)+(G35*G$59)+(H35*H$59)+(I35*I$59)</f>
        <v>35</v>
      </c>
      <c r="K35" s="23" t="str">
        <f t="shared" ref="K35:K39" si="2">IF(D35&gt;=100, 250, IF(D35&gt;=50, 150, IF(D35&gt;=30, 50, "")))</f>
        <v/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0</v>
      </c>
      <c r="T35" s="33">
        <f>(R35+J35)*2</f>
        <v>70</v>
      </c>
      <c r="V35" s="28">
        <v>7</v>
      </c>
      <c r="W35" s="29"/>
      <c r="X35" s="28"/>
      <c r="Y35" s="28"/>
      <c r="Z35" s="28"/>
      <c r="AA35" s="28"/>
      <c r="AC35" s="28" t="s">
        <v>97</v>
      </c>
      <c r="AD35" s="28">
        <f>T46</f>
        <v>1535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44</v>
      </c>
      <c r="D36" s="20">
        <v>43</v>
      </c>
      <c r="E36" s="1">
        <v>2</v>
      </c>
      <c r="F36" s="1"/>
      <c r="G36" s="1"/>
      <c r="H36" s="1"/>
      <c r="I36" s="1"/>
      <c r="J36" s="19">
        <f>(D36*D$59)+(E36*E$59)+(F36*F$59)+(G36*G$59)+(H36*H$59)+(I36*I$59)</f>
        <v>415</v>
      </c>
      <c r="K36" s="15">
        <f t="shared" si="2"/>
        <v>50</v>
      </c>
      <c r="L36" s="20">
        <f t="shared" si="3"/>
        <v>50</v>
      </c>
      <c r="M36" s="20"/>
      <c r="N36" s="20"/>
      <c r="O36" s="20"/>
      <c r="P36" s="1"/>
      <c r="Q36" s="1"/>
      <c r="R36" s="17">
        <f>SUM(K36:Q36)</f>
        <v>100</v>
      </c>
      <c r="T36" s="14">
        <f>R36+J36</f>
        <v>515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1920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64</v>
      </c>
      <c r="D37" s="20">
        <v>17</v>
      </c>
      <c r="E37" s="1">
        <v>1</v>
      </c>
      <c r="F37" s="1"/>
      <c r="G37" s="1"/>
      <c r="H37" s="1">
        <v>1</v>
      </c>
      <c r="I37" s="1"/>
      <c r="J37" s="19">
        <f>(D37*D$59)+(E37*E$59)+(F37*F$59)+(G37*G$59)+(H37*H$59)+(I37*I$59)</f>
        <v>235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235</v>
      </c>
      <c r="V37" s="28"/>
      <c r="W37" s="29"/>
      <c r="X37" s="28"/>
      <c r="Y37" s="28"/>
      <c r="Z37" s="28"/>
      <c r="AA37" s="28"/>
      <c r="AF37" s="49" t="s">
        <v>284</v>
      </c>
      <c r="AG37" s="49">
        <v>7915</v>
      </c>
      <c r="AH37" s="49">
        <v>-8325</v>
      </c>
      <c r="AI37" s="49">
        <v>-2815</v>
      </c>
      <c r="AJ37" s="49">
        <v>3225</v>
      </c>
    </row>
    <row r="38" spans="2:36" x14ac:dyDescent="0.3">
      <c r="B38" s="67"/>
      <c r="C38" s="19" t="s">
        <v>140</v>
      </c>
      <c r="D38" s="20"/>
      <c r="E38" s="1"/>
      <c r="F38" s="1"/>
      <c r="G38" s="1"/>
      <c r="H38" s="1">
        <v>1</v>
      </c>
      <c r="I38" s="1"/>
      <c r="J38" s="19">
        <f>(D38*D$59)+(E38*E$59)+(F38*F$59)+(G38*G$59)+(H38*H$59)+(I38*I$59)</f>
        <v>50</v>
      </c>
      <c r="K38" s="15" t="str">
        <f t="shared" si="2"/>
        <v/>
      </c>
      <c r="L38" s="20" t="str">
        <f t="shared" si="3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50</v>
      </c>
      <c r="V38" s="28"/>
      <c r="W38" s="29"/>
      <c r="X38" s="28"/>
      <c r="Y38" s="28"/>
      <c r="Z38" s="28"/>
      <c r="AA38" s="28"/>
      <c r="AF38" s="49" t="s">
        <v>308</v>
      </c>
      <c r="AG38" s="49">
        <f>X28</f>
        <v>-3945</v>
      </c>
      <c r="AH38" s="49">
        <f>Y28</f>
        <v>3680</v>
      </c>
      <c r="AI38" s="49">
        <f>Z28</f>
        <v>-5055</v>
      </c>
      <c r="AJ38" s="49">
        <f>AA28</f>
        <v>5320</v>
      </c>
    </row>
    <row r="39" spans="2:36" ht="15" thickBot="1" x14ac:dyDescent="0.35">
      <c r="B39" s="68"/>
      <c r="C39" s="11" t="s">
        <v>69</v>
      </c>
      <c r="D39" s="12">
        <v>36</v>
      </c>
      <c r="E39" s="10"/>
      <c r="F39" s="10"/>
      <c r="G39" s="10"/>
      <c r="H39" s="10">
        <v>1</v>
      </c>
      <c r="I39" s="10"/>
      <c r="J39" s="11">
        <f>(D39*D$59)+(E39*E$59)+(F39*F$59)+(G39*G$59)+(H39*H$59)+(I39*I$59)</f>
        <v>230</v>
      </c>
      <c r="K39" s="12">
        <f t="shared" si="2"/>
        <v>50</v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50</v>
      </c>
      <c r="T39" s="34">
        <f>R39+J39</f>
        <v>280</v>
      </c>
      <c r="V39" s="28"/>
      <c r="W39" s="29"/>
      <c r="X39" s="28"/>
      <c r="Y39" s="28"/>
      <c r="Z39" s="28"/>
      <c r="AA39" s="28"/>
      <c r="AF39" s="49" t="s">
        <v>0</v>
      </c>
      <c r="AG39" s="49">
        <f>SUM(AG33:AG38)</f>
        <v>9685</v>
      </c>
      <c r="AH39" s="49">
        <f t="shared" ref="AH39:AJ39" si="4">SUM(AH33:AH38)</f>
        <v>430</v>
      </c>
      <c r="AI39" s="49">
        <f t="shared" si="4"/>
        <v>-1730</v>
      </c>
      <c r="AJ39" s="49">
        <f t="shared" si="4"/>
        <v>-8385</v>
      </c>
    </row>
    <row r="40" spans="2:36" ht="15" thickBot="1" x14ac:dyDescent="0.35">
      <c r="K40" s="2" t="s">
        <v>258</v>
      </c>
      <c r="L40" s="2" t="s">
        <v>258</v>
      </c>
      <c r="T40" s="54">
        <f>SUM(T35:T39)</f>
        <v>1150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53" t="s">
        <v>20</v>
      </c>
      <c r="D41" s="23">
        <v>62</v>
      </c>
      <c r="E41" s="6"/>
      <c r="F41" s="6"/>
      <c r="G41" s="6"/>
      <c r="H41" s="6"/>
      <c r="I41" s="6"/>
      <c r="J41" s="7">
        <f>(D41*D$59)+(E41*E$59)+(F41*F$59)+(G41*G$59)+(H41*H$59)+(I41*I$59)</f>
        <v>310</v>
      </c>
      <c r="K41" s="23">
        <f t="shared" ref="K41:K45" si="5">IF(D41&gt;=100, 250, IF(D41&gt;=50, 150, IF(D41&gt;=30, 50, "")))</f>
        <v>150</v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150</v>
      </c>
      <c r="T41" s="33">
        <f>(R41+J41)*2</f>
        <v>920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25</v>
      </c>
      <c r="D42" s="20">
        <v>26</v>
      </c>
      <c r="E42" s="1"/>
      <c r="F42" s="1"/>
      <c r="G42" s="1"/>
      <c r="H42" s="1"/>
      <c r="I42" s="1"/>
      <c r="J42" s="19">
        <f>(D42*D$59)+(E42*E$59)+(F42*F$59)+(G42*G$59)+(H42*H$59)+(I42*I$59)</f>
        <v>130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130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47</v>
      </c>
      <c r="D43" s="20">
        <v>0</v>
      </c>
      <c r="E43" s="1">
        <v>3</v>
      </c>
      <c r="F43" s="1"/>
      <c r="G43" s="1"/>
      <c r="H43" s="1">
        <v>1</v>
      </c>
      <c r="I43" s="1">
        <v>1</v>
      </c>
      <c r="J43" s="19">
        <f>(D43*D$59)+(E43*E$59)+(F43*F$59)+(G43*G$59)+(H43*H$59)+(I43*I$59)</f>
        <v>300</v>
      </c>
      <c r="K43" s="15" t="str">
        <f t="shared" si="5"/>
        <v/>
      </c>
      <c r="L43" s="20">
        <f t="shared" si="6"/>
        <v>150</v>
      </c>
      <c r="M43" s="20"/>
      <c r="N43" s="20"/>
      <c r="O43" s="20"/>
      <c r="P43" s="1"/>
      <c r="Q43" s="1"/>
      <c r="R43" s="17">
        <f>SUM(K43:Q43)</f>
        <v>150</v>
      </c>
      <c r="T43" s="14">
        <f>R43+J43</f>
        <v>450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50</v>
      </c>
      <c r="D44" s="20">
        <v>7</v>
      </c>
      <c r="E44" s="1"/>
      <c r="F44" s="1"/>
      <c r="G44" s="1"/>
      <c r="H44" s="1"/>
      <c r="I44" s="1"/>
      <c r="J44" s="19">
        <f>(D44*D$59)+(E44*E$59)+(F44*F$59)+(G44*G$59)+(H44*H$59)+(I44*I$59)</f>
        <v>35</v>
      </c>
      <c r="K44" s="15" t="str">
        <f t="shared" si="5"/>
        <v/>
      </c>
      <c r="L44" s="20" t="str">
        <f t="shared" si="6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35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62</v>
      </c>
      <c r="D45" s="12"/>
      <c r="E45" s="10"/>
      <c r="F45" s="10"/>
      <c r="G45" s="10"/>
      <c r="H45" s="10"/>
      <c r="I45" s="10"/>
      <c r="J45" s="11">
        <f>(D45*D$59)+(E45*E$59)+(F45*F$59)+(G45*G$59)+(H45*H$59)+(I45*I$59)</f>
        <v>0</v>
      </c>
      <c r="K45" s="12" t="str">
        <f t="shared" si="5"/>
        <v/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0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54">
        <f>SUM(T41:T45)</f>
        <v>1535</v>
      </c>
      <c r="V46" s="28"/>
      <c r="W46" s="29"/>
      <c r="X46" s="28"/>
      <c r="Y46" s="28"/>
      <c r="Z46" s="28"/>
      <c r="AA46" s="28"/>
      <c r="AG46" s="3" t="s">
        <v>329</v>
      </c>
    </row>
    <row r="47" spans="2:36" x14ac:dyDescent="0.3">
      <c r="B47" s="66" t="s">
        <v>285</v>
      </c>
      <c r="C47" s="53" t="s">
        <v>49</v>
      </c>
      <c r="D47" s="23">
        <v>27</v>
      </c>
      <c r="E47" s="6">
        <v>3</v>
      </c>
      <c r="F47" s="6">
        <v>2</v>
      </c>
      <c r="G47" s="6"/>
      <c r="H47" s="6">
        <v>1</v>
      </c>
      <c r="I47" s="6"/>
      <c r="J47" s="7">
        <f>(D47*D$59)+(E47*E$59)+(F47*F$59)+(G47*G$59)+(H47*H$59)+(I47*I$59)</f>
        <v>585</v>
      </c>
      <c r="K47" s="23" t="str">
        <f t="shared" ref="K47:K51" si="7">IF(D47&gt;=100, 250, IF(D47&gt;=50, 150, IF(D47&gt;=30, 50, "")))</f>
        <v/>
      </c>
      <c r="L47" s="23">
        <f t="shared" ref="L47:L51" si="8">IF(E47=5, 200, IF(E47=3, 150, IF(E47=2, 50, "")))</f>
        <v>150</v>
      </c>
      <c r="M47" s="23"/>
      <c r="N47" s="23"/>
      <c r="O47" s="23"/>
      <c r="P47" s="6"/>
      <c r="Q47" s="6"/>
      <c r="R47" s="24">
        <f>SUM(K47:Q47)</f>
        <v>150</v>
      </c>
      <c r="T47" s="33">
        <f>(R47+J47)*2</f>
        <v>1470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281</v>
      </c>
      <c r="D48" s="20">
        <v>15</v>
      </c>
      <c r="E48" s="1"/>
      <c r="F48" s="1"/>
      <c r="G48" s="1"/>
      <c r="H48" s="1">
        <v>1</v>
      </c>
      <c r="I48" s="1"/>
      <c r="J48" s="19">
        <f>(D48*D$59)+(E48*E$59)+(F48*F$59)+(G48*G$59)+(H48*H$59)+(I48*I$59)</f>
        <v>125</v>
      </c>
      <c r="K48" s="15" t="str">
        <f t="shared" si="7"/>
        <v/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0</v>
      </c>
      <c r="T48" s="14">
        <f>R48+J48</f>
        <v>125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205</v>
      </c>
      <c r="D49" s="20">
        <v>44</v>
      </c>
      <c r="E49" s="1"/>
      <c r="F49" s="1"/>
      <c r="G49" s="1"/>
      <c r="H49" s="1"/>
      <c r="I49" s="1"/>
      <c r="J49" s="19">
        <f>(D49*D$59)+(E49*E$59)+(F49*F$59)+(G49*G$59)+(H49*H$59)+(I49*I$59)</f>
        <v>220</v>
      </c>
      <c r="K49" s="15">
        <f t="shared" si="7"/>
        <v>50</v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50</v>
      </c>
      <c r="T49" s="14">
        <f>R49+J49</f>
        <v>270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41</v>
      </c>
      <c r="D50" s="20">
        <v>1</v>
      </c>
      <c r="E50" s="1"/>
      <c r="F50" s="1"/>
      <c r="G50" s="1"/>
      <c r="H50" s="1"/>
      <c r="I50" s="1"/>
      <c r="J50" s="19">
        <f>(D50*D$59)+(E50*E$59)+(F50*F$59)+(G50*G$59)+(H50*H$59)+(I50*I$59)</f>
        <v>5</v>
      </c>
      <c r="K50" s="15" t="str">
        <f t="shared" si="7"/>
        <v/>
      </c>
      <c r="L50" s="20" t="str">
        <f t="shared" si="8"/>
        <v/>
      </c>
      <c r="M50" s="20" t="s">
        <v>258</v>
      </c>
      <c r="N50" s="20"/>
      <c r="O50" s="20"/>
      <c r="P50" s="1"/>
      <c r="Q50" s="1"/>
      <c r="R50" s="17">
        <f>SUM(K50:Q50)</f>
        <v>0</v>
      </c>
      <c r="T50" s="14">
        <f>R50+J50</f>
        <v>5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328</v>
      </c>
      <c r="D51" s="12">
        <v>0</v>
      </c>
      <c r="E51" s="10">
        <v>1</v>
      </c>
      <c r="F51" s="10"/>
      <c r="G51" s="10"/>
      <c r="H51" s="10"/>
      <c r="I51" s="10">
        <v>1</v>
      </c>
      <c r="J51" s="11">
        <f>(D51*D$59)+(E51*E$59)+(F51*F$59)+(G51*G$59)+(H51*H$59)+(I51*I$59)</f>
        <v>50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50</v>
      </c>
      <c r="V51" s="28"/>
      <c r="W51" s="29"/>
      <c r="X51" s="28"/>
      <c r="Y51" s="28"/>
      <c r="Z51" s="28"/>
      <c r="AA51" s="28"/>
    </row>
    <row r="52" spans="2:30" ht="15" thickBot="1" x14ac:dyDescent="0.35">
      <c r="T52" s="54">
        <f>SUM(T47:T51)</f>
        <v>1920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-1750</v>
      </c>
      <c r="Y60" s="42">
        <f>SUM(Y61:Y68)</f>
        <v>5120</v>
      </c>
      <c r="Z60" s="42">
        <f>SUM(Z61:Z68)</f>
        <v>-3620</v>
      </c>
      <c r="AA60" s="42">
        <f>SUM(AA61:AA68)</f>
        <v>250</v>
      </c>
    </row>
    <row r="61" spans="2:30" x14ac:dyDescent="0.3">
      <c r="B61" s="66" t="s">
        <v>211</v>
      </c>
      <c r="C61" s="38" t="s">
        <v>20</v>
      </c>
      <c r="D61" s="5">
        <v>22</v>
      </c>
      <c r="E61" s="6"/>
      <c r="F61" s="6"/>
      <c r="G61" s="6"/>
      <c r="H61" s="6"/>
      <c r="I61" s="6"/>
      <c r="J61" s="7">
        <f>(D61*D$59)+(E61*E$59)+(F61*F$59)+(G61*G$59)+(H61*H$59)+(I61*I$59)</f>
        <v>110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220</v>
      </c>
      <c r="V61" s="28">
        <v>1</v>
      </c>
      <c r="W61" s="29" t="s">
        <v>312</v>
      </c>
      <c r="X61" s="28">
        <v>-1750</v>
      </c>
      <c r="Y61" s="28">
        <v>4045</v>
      </c>
      <c r="Z61" s="28">
        <v>-1280</v>
      </c>
      <c r="AA61" s="28">
        <v>-1015</v>
      </c>
    </row>
    <row r="62" spans="2:30" x14ac:dyDescent="0.3">
      <c r="B62" s="67"/>
      <c r="C62" s="4" t="s">
        <v>320</v>
      </c>
      <c r="D62" s="18">
        <v>12</v>
      </c>
      <c r="E62" s="1"/>
      <c r="F62" s="1"/>
      <c r="G62" s="1"/>
      <c r="H62" s="1">
        <v>1</v>
      </c>
      <c r="I62" s="1"/>
      <c r="J62" s="19">
        <f t="shared" ref="J62:J65" si="9">(D62*D$59)+(E62*E$59)+(F62*F$59)+(G62*G$59)+(H62*H$59)+(I62*I$59)</f>
        <v>110</v>
      </c>
      <c r="K62" s="15" t="str">
        <f t="shared" ref="K62:K65" si="10">IF(D62&gt;=100, 250, IF(D62&gt;=50, 150, IF(D62&gt;=30, 50, "")))</f>
        <v/>
      </c>
      <c r="L62" s="20" t="str">
        <f t="shared" ref="L62:L65" si="11">IF(E62=5, 200, IF(E62=3, 150, IF(E62=2, 50, "")))</f>
        <v/>
      </c>
      <c r="M62" s="20" t="s">
        <v>258</v>
      </c>
      <c r="N62" s="20"/>
      <c r="O62" s="20"/>
      <c r="P62" s="1"/>
      <c r="Q62" s="1"/>
      <c r="R62" s="17">
        <f>SUM(K62:Q62)</f>
        <v>0</v>
      </c>
      <c r="T62" s="14">
        <f>R62+J62</f>
        <v>110</v>
      </c>
      <c r="V62" s="28">
        <v>2</v>
      </c>
      <c r="W62" s="29">
        <v>45772</v>
      </c>
      <c r="X62" s="45">
        <v>1755</v>
      </c>
      <c r="Y62" s="45">
        <v>-350</v>
      </c>
      <c r="Z62" s="45">
        <v>-970</v>
      </c>
      <c r="AA62" s="45">
        <v>-435</v>
      </c>
    </row>
    <row r="63" spans="2:30" x14ac:dyDescent="0.3">
      <c r="B63" s="67"/>
      <c r="C63" s="4" t="s">
        <v>321</v>
      </c>
      <c r="D63" s="18"/>
      <c r="E63" s="1">
        <v>2</v>
      </c>
      <c r="F63" s="1"/>
      <c r="G63" s="1"/>
      <c r="H63" s="1">
        <v>1</v>
      </c>
      <c r="I63" s="1"/>
      <c r="J63" s="19">
        <f t="shared" si="9"/>
        <v>250</v>
      </c>
      <c r="K63" s="15" t="str">
        <f t="shared" si="10"/>
        <v/>
      </c>
      <c r="L63" s="20">
        <f t="shared" si="11"/>
        <v>50</v>
      </c>
      <c r="M63" s="20" t="s">
        <v>258</v>
      </c>
      <c r="N63" s="20"/>
      <c r="O63" s="20"/>
      <c r="P63" s="1"/>
      <c r="Q63" s="1"/>
      <c r="R63" s="17">
        <f>SUM(K63:Q63)</f>
        <v>50</v>
      </c>
      <c r="T63" s="14">
        <f>R63+J63</f>
        <v>300</v>
      </c>
      <c r="V63" s="28">
        <v>3</v>
      </c>
      <c r="W63" s="29">
        <v>45774</v>
      </c>
      <c r="X63" s="45">
        <v>-960</v>
      </c>
      <c r="Y63" s="45">
        <v>-545</v>
      </c>
      <c r="Z63" s="45">
        <v>-415</v>
      </c>
      <c r="AA63" s="45">
        <v>1920</v>
      </c>
      <c r="AC63" s="50" t="s">
        <v>5</v>
      </c>
      <c r="AD63" s="50" t="s">
        <v>235</v>
      </c>
    </row>
    <row r="64" spans="2:30" x14ac:dyDescent="0.3">
      <c r="B64" s="67"/>
      <c r="C64" s="4" t="s">
        <v>322</v>
      </c>
      <c r="D64" s="18"/>
      <c r="E64" s="1"/>
      <c r="F64" s="1"/>
      <c r="G64" s="1"/>
      <c r="H64" s="1"/>
      <c r="I64" s="1"/>
      <c r="J64" s="19">
        <f t="shared" si="9"/>
        <v>0</v>
      </c>
      <c r="K64" s="15" t="str">
        <f t="shared" si="10"/>
        <v/>
      </c>
      <c r="L64" s="20" t="str">
        <f t="shared" si="11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29">
        <v>45774</v>
      </c>
      <c r="X64" s="45">
        <f>T66-T72</f>
        <v>-795</v>
      </c>
      <c r="Y64" s="45">
        <f>-(X64+Z64+AA64)</f>
        <v>1970</v>
      </c>
      <c r="Z64" s="45">
        <f>T78-T72</f>
        <v>-955</v>
      </c>
      <c r="AA64" s="45">
        <f>T84-T72</f>
        <v>-220</v>
      </c>
      <c r="AC64" s="28" t="s">
        <v>211</v>
      </c>
      <c r="AD64" s="28">
        <f>T66</f>
        <v>730</v>
      </c>
    </row>
    <row r="65" spans="2:30" ht="15" thickBot="1" x14ac:dyDescent="0.35">
      <c r="B65" s="68"/>
      <c r="C65" s="21" t="s">
        <v>304</v>
      </c>
      <c r="D65" s="9"/>
      <c r="E65" s="10">
        <v>1</v>
      </c>
      <c r="F65" s="10"/>
      <c r="G65" s="10"/>
      <c r="H65" s="10"/>
      <c r="I65" s="10"/>
      <c r="J65" s="11">
        <f t="shared" si="9"/>
        <v>100</v>
      </c>
      <c r="K65" s="12" t="str">
        <f t="shared" si="10"/>
        <v/>
      </c>
      <c r="L65" s="12" t="str">
        <f t="shared" si="11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100</v>
      </c>
      <c r="V65" s="28">
        <v>5</v>
      </c>
      <c r="W65" s="29"/>
      <c r="X65" s="28"/>
      <c r="Y65" s="28"/>
      <c r="Z65" s="28"/>
      <c r="AA65" s="28"/>
      <c r="AC65" s="28" t="s">
        <v>96</v>
      </c>
      <c r="AD65" s="28">
        <f>T72</f>
        <v>1525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730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570</v>
      </c>
    </row>
    <row r="67" spans="2:30" x14ac:dyDescent="0.3">
      <c r="B67" s="66" t="s">
        <v>96</v>
      </c>
      <c r="C67" s="39" t="s">
        <v>19</v>
      </c>
      <c r="D67" s="23">
        <v>51</v>
      </c>
      <c r="E67" s="6"/>
      <c r="F67" s="6">
        <v>1</v>
      </c>
      <c r="G67" s="6"/>
      <c r="H67" s="6">
        <v>1</v>
      </c>
      <c r="I67" s="6"/>
      <c r="J67" s="7">
        <f>(D67*D$59)+(E67*E$59)+(F67*F$59)+(G67*G$59)+(H67*H$59)+(I67*I$59)</f>
        <v>355</v>
      </c>
      <c r="K67" s="23">
        <f t="shared" ref="K67:K71" si="12">IF(D67&gt;=100, 250, IF(D67&gt;=50, 150, IF(D67&gt;=30, 50, "")))</f>
        <v>150</v>
      </c>
      <c r="L67" s="23" t="str">
        <f t="shared" ref="L67:L71" si="13">IF(E67=5, 200, IF(E67=3, 150, IF(E67=2, 50, "")))</f>
        <v/>
      </c>
      <c r="M67" s="23"/>
      <c r="N67" s="23"/>
      <c r="O67" s="23"/>
      <c r="P67" s="6"/>
      <c r="Q67" s="6"/>
      <c r="R67" s="24">
        <f>SUM(K67:Q67)</f>
        <v>150</v>
      </c>
      <c r="T67" s="33">
        <f>(R67+J67)*2</f>
        <v>1010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1305</v>
      </c>
    </row>
    <row r="68" spans="2:30" x14ac:dyDescent="0.3">
      <c r="B68" s="67"/>
      <c r="C68" s="19" t="s">
        <v>71</v>
      </c>
      <c r="D68" s="20">
        <v>28</v>
      </c>
      <c r="E68" s="1"/>
      <c r="F68" s="1"/>
      <c r="G68" s="1"/>
      <c r="H68" s="1"/>
      <c r="I68" s="1"/>
      <c r="J68" s="19">
        <f t="shared" ref="J68:J71" si="14">(D68*D$59)+(E68*E$59)+(F68*F$59)+(G68*G$59)+(H68*H$59)+(I68*I$59)</f>
        <v>140</v>
      </c>
      <c r="K68" s="15" t="str">
        <f t="shared" si="12"/>
        <v/>
      </c>
      <c r="L68" s="20" t="str">
        <f t="shared" si="13"/>
        <v/>
      </c>
      <c r="M68" s="20"/>
      <c r="N68" s="20"/>
      <c r="O68" s="20"/>
      <c r="P68" s="1"/>
      <c r="Q68" s="1"/>
      <c r="R68" s="17">
        <f>SUM(K68:Q68)</f>
        <v>0</v>
      </c>
      <c r="T68" s="14">
        <f>R68+J68</f>
        <v>140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44</v>
      </c>
      <c r="D69" s="20">
        <v>15</v>
      </c>
      <c r="E69" s="1">
        <v>2</v>
      </c>
      <c r="F69" s="1"/>
      <c r="G69" s="1"/>
      <c r="H69" s="1"/>
      <c r="I69" s="1"/>
      <c r="J69" s="19">
        <f t="shared" si="14"/>
        <v>275</v>
      </c>
      <c r="K69" s="15" t="str">
        <f t="shared" si="12"/>
        <v/>
      </c>
      <c r="L69" s="20">
        <f t="shared" si="13"/>
        <v>50</v>
      </c>
      <c r="M69" s="20"/>
      <c r="N69" s="20"/>
      <c r="O69" s="20"/>
      <c r="P69" s="1"/>
      <c r="Q69" s="1"/>
      <c r="R69" s="17">
        <f>SUM(K69:Q69)</f>
        <v>50</v>
      </c>
      <c r="T69" s="14">
        <f>R69+J69</f>
        <v>325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65</v>
      </c>
      <c r="D70" s="20"/>
      <c r="E70" s="1"/>
      <c r="F70" s="1"/>
      <c r="G70" s="1"/>
      <c r="H70" s="1">
        <v>1</v>
      </c>
      <c r="I70" s="1"/>
      <c r="J70" s="19">
        <f t="shared" si="14"/>
        <v>50</v>
      </c>
      <c r="K70" s="15" t="str">
        <f t="shared" si="12"/>
        <v/>
      </c>
      <c r="L70" s="20" t="str">
        <f t="shared" si="13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50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62</v>
      </c>
      <c r="D71" s="12"/>
      <c r="E71" s="10"/>
      <c r="F71" s="10"/>
      <c r="G71" s="10"/>
      <c r="H71" s="10"/>
      <c r="I71" s="10"/>
      <c r="J71" s="11">
        <f t="shared" si="14"/>
        <v>0</v>
      </c>
      <c r="K71" s="12" t="str">
        <f t="shared" si="12"/>
        <v/>
      </c>
      <c r="L71" s="12" t="str">
        <f t="shared" si="13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1525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323</v>
      </c>
      <c r="D73" s="23">
        <v>4</v>
      </c>
      <c r="E73" s="6"/>
      <c r="F73" s="6">
        <v>2</v>
      </c>
      <c r="G73" s="6"/>
      <c r="H73" s="6">
        <v>1</v>
      </c>
      <c r="I73" s="6"/>
      <c r="J73" s="7">
        <f>(D73*D$59)+(E73*E$59)+(F73*F$59)+(G73*G$59)+(H73*H$59)+(I73*I$59)</f>
        <v>170</v>
      </c>
      <c r="K73" s="23" t="str">
        <f t="shared" ref="K73:K77" si="15">IF(D73&gt;=100, 250, IF(D73&gt;=50, 150, IF(D73&gt;=30, 50, "")))</f>
        <v/>
      </c>
      <c r="L73" s="23" t="str">
        <f t="shared" ref="L73:L77" si="16">IF(E73=5, 200, IF(E73=3, 150, IF(E73=2, 50, "")))</f>
        <v/>
      </c>
      <c r="M73" s="23"/>
      <c r="N73" s="23"/>
      <c r="O73" s="23"/>
      <c r="P73" s="6"/>
      <c r="Q73" s="6"/>
      <c r="R73" s="24">
        <f>SUM(K73:Q73)</f>
        <v>0</v>
      </c>
      <c r="T73" s="33">
        <f>(R73+J73)*2</f>
        <v>340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324</v>
      </c>
      <c r="D74" s="20">
        <v>0</v>
      </c>
      <c r="E74" s="1"/>
      <c r="F74" s="1"/>
      <c r="G74" s="1"/>
      <c r="H74" s="1"/>
      <c r="I74" s="1">
        <v>1</v>
      </c>
      <c r="J74" s="19">
        <f t="shared" ref="J74:J77" si="17">(D74*D$59)+(E74*E$59)+(F74*F$59)+(G74*G$59)+(H74*H$59)+(I74*I$59)</f>
        <v>-50</v>
      </c>
      <c r="K74" s="15" t="str">
        <f t="shared" si="15"/>
        <v/>
      </c>
      <c r="L74" s="20" t="str">
        <f t="shared" si="16"/>
        <v/>
      </c>
      <c r="M74" s="20"/>
      <c r="N74" s="20"/>
      <c r="O74" s="20"/>
      <c r="P74" s="1"/>
      <c r="Q74" s="1"/>
      <c r="R74" s="17">
        <f>SUM(K74:Q74)</f>
        <v>0</v>
      </c>
      <c r="T74" s="14">
        <f>R74+J74</f>
        <v>-50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45</v>
      </c>
      <c r="D75" s="20">
        <v>34</v>
      </c>
      <c r="E75" s="1"/>
      <c r="F75" s="1"/>
      <c r="G75" s="1"/>
      <c r="H75" s="1"/>
      <c r="I75" s="1"/>
      <c r="J75" s="19">
        <f t="shared" si="17"/>
        <v>170</v>
      </c>
      <c r="K75" s="15">
        <f t="shared" si="15"/>
        <v>50</v>
      </c>
      <c r="L75" s="20" t="str">
        <f t="shared" si="16"/>
        <v/>
      </c>
      <c r="M75" s="20"/>
      <c r="N75" s="20"/>
      <c r="O75" s="20"/>
      <c r="P75" s="1"/>
      <c r="Q75" s="1"/>
      <c r="R75" s="17">
        <f>SUM(K75:Q75)</f>
        <v>50</v>
      </c>
      <c r="T75" s="14">
        <f>R75+J75</f>
        <v>220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175</v>
      </c>
      <c r="D76" s="20">
        <v>12</v>
      </c>
      <c r="E76" s="1"/>
      <c r="F76" s="1"/>
      <c r="G76" s="1"/>
      <c r="H76" s="1"/>
      <c r="I76" s="1"/>
      <c r="J76" s="19">
        <f t="shared" si="17"/>
        <v>60</v>
      </c>
      <c r="K76" s="15" t="str">
        <f t="shared" si="15"/>
        <v/>
      </c>
      <c r="L76" s="20" t="str">
        <f t="shared" si="16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60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294</v>
      </c>
      <c r="D77" s="12"/>
      <c r="E77" s="10"/>
      <c r="F77" s="10"/>
      <c r="G77" s="10"/>
      <c r="H77" s="10"/>
      <c r="I77" s="10"/>
      <c r="J77" s="11">
        <f t="shared" si="17"/>
        <v>0</v>
      </c>
      <c r="K77" s="12" t="str">
        <f t="shared" si="15"/>
        <v/>
      </c>
      <c r="L77" s="12" t="str">
        <f t="shared" si="16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570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256</v>
      </c>
      <c r="D79" s="23">
        <v>41</v>
      </c>
      <c r="E79" s="6"/>
      <c r="F79" s="6"/>
      <c r="G79" s="6"/>
      <c r="H79" s="6"/>
      <c r="I79" s="6"/>
      <c r="J79" s="7">
        <f>(D79*D$59)+(E79*E$59)+(F79*F$59)+(G79*G$59)+(H79*H$59)+(I79*I$59)</f>
        <v>205</v>
      </c>
      <c r="K79" s="23">
        <f t="shared" ref="K79:K83" si="18">IF(D79&gt;=100, 250, IF(D79&gt;=50, 150, IF(D79&gt;=30, 50, "")))</f>
        <v>50</v>
      </c>
      <c r="L79" s="23" t="str">
        <f t="shared" ref="L79:L83" si="19">IF(E79=5, 200, IF(E79=3, 150, IF(E79=2, 50, "")))</f>
        <v/>
      </c>
      <c r="M79" s="23"/>
      <c r="N79" s="23"/>
      <c r="O79" s="23"/>
      <c r="P79" s="6"/>
      <c r="Q79" s="6"/>
      <c r="R79" s="24">
        <f>SUM(K79:Q79)</f>
        <v>50</v>
      </c>
      <c r="T79" s="33">
        <f>(R79+J79)*2</f>
        <v>510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35</v>
      </c>
      <c r="D80" s="20">
        <v>6</v>
      </c>
      <c r="E80" s="1"/>
      <c r="F80" s="1"/>
      <c r="G80" s="1"/>
      <c r="H80" s="1"/>
      <c r="I80" s="1"/>
      <c r="J80" s="19">
        <f t="shared" ref="J80:J83" si="20">(D80*D$59)+(E80*E$59)+(F80*F$59)+(G80*G$59)+(H80*H$59)+(I80*I$59)</f>
        <v>30</v>
      </c>
      <c r="K80" s="15" t="str">
        <f t="shared" si="18"/>
        <v/>
      </c>
      <c r="L80" s="20" t="str">
        <f t="shared" si="19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47</v>
      </c>
      <c r="D81" s="20"/>
      <c r="E81" s="1"/>
      <c r="F81" s="1"/>
      <c r="G81" s="1"/>
      <c r="H81" s="1">
        <v>1</v>
      </c>
      <c r="I81" s="1"/>
      <c r="J81" s="19">
        <f t="shared" si="20"/>
        <v>50</v>
      </c>
      <c r="K81" s="15" t="str">
        <f t="shared" si="18"/>
        <v/>
      </c>
      <c r="L81" s="20" t="str">
        <f t="shared" si="19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241</v>
      </c>
      <c r="D82" s="20">
        <v>73</v>
      </c>
      <c r="E82" s="1">
        <v>1</v>
      </c>
      <c r="F82" s="1"/>
      <c r="G82" s="1"/>
      <c r="H82" s="1"/>
      <c r="I82" s="1"/>
      <c r="J82" s="19">
        <f t="shared" si="20"/>
        <v>465</v>
      </c>
      <c r="K82" s="15">
        <f t="shared" si="18"/>
        <v>150</v>
      </c>
      <c r="L82" s="20" t="str">
        <f t="shared" si="19"/>
        <v/>
      </c>
      <c r="M82" s="20" t="s">
        <v>258</v>
      </c>
      <c r="N82" s="20"/>
      <c r="O82" s="20"/>
      <c r="P82" s="1"/>
      <c r="Q82" s="1"/>
      <c r="R82" s="17">
        <f>SUM(K82:Q82)</f>
        <v>150</v>
      </c>
      <c r="T82" s="14">
        <f>R82+J82</f>
        <v>615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200</v>
      </c>
      <c r="D83" s="12"/>
      <c r="E83" s="10">
        <v>1</v>
      </c>
      <c r="F83" s="10"/>
      <c r="G83" s="10"/>
      <c r="H83" s="10"/>
      <c r="I83" s="10"/>
      <c r="J83" s="11">
        <f t="shared" si="20"/>
        <v>100</v>
      </c>
      <c r="K83" s="12" t="str">
        <f t="shared" si="18"/>
        <v/>
      </c>
      <c r="L83" s="12" t="str">
        <f t="shared" si="19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1305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AJ84"/>
  <sheetViews>
    <sheetView zoomScale="90" zoomScaleNormal="90" workbookViewId="0">
      <selection activeCell="D41" sqref="D41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-5370</v>
      </c>
      <c r="Y28" s="42">
        <f>SUM(Y29:Y36)</f>
        <v>2215</v>
      </c>
      <c r="Z28" s="42">
        <f>SUM(Z29:Z36)</f>
        <v>-975</v>
      </c>
      <c r="AA28" s="42">
        <f>SUM(AA29:AA36)</f>
        <v>4130</v>
      </c>
    </row>
    <row r="29" spans="2:36" x14ac:dyDescent="0.3">
      <c r="B29" s="66" t="s">
        <v>211</v>
      </c>
      <c r="C29" s="65" t="s">
        <v>331</v>
      </c>
      <c r="D29" s="5">
        <v>7</v>
      </c>
      <c r="E29" s="6"/>
      <c r="F29" s="6"/>
      <c r="G29" s="6"/>
      <c r="H29" s="6"/>
      <c r="I29" s="6"/>
      <c r="J29" s="7">
        <f>(D29*D$59)+(E29*E$59)+(F29*F$59)+(G29*G$59)+(H29*H$59)+(I29*I$59)</f>
        <v>35</v>
      </c>
      <c r="K29" s="15" t="str">
        <f>IF(D29&gt;=100, 250, IF(D29&gt;=50, 150, IF(D29&gt;=30, 50, "")))</f>
        <v/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0</v>
      </c>
      <c r="T29" s="14">
        <f>(R29+J29)*2</f>
        <v>70</v>
      </c>
      <c r="V29" s="28">
        <v>1</v>
      </c>
      <c r="W29" s="29">
        <v>45771</v>
      </c>
      <c r="X29" s="28">
        <v>-1750</v>
      </c>
      <c r="Y29" s="28">
        <v>4045</v>
      </c>
      <c r="Z29" s="28">
        <v>-1280</v>
      </c>
      <c r="AA29" s="28">
        <v>-1015</v>
      </c>
    </row>
    <row r="30" spans="2:36" x14ac:dyDescent="0.3">
      <c r="B30" s="67"/>
      <c r="C30" s="4" t="s">
        <v>42</v>
      </c>
      <c r="D30" s="18">
        <v>88</v>
      </c>
      <c r="E30" s="1"/>
      <c r="F30" s="1"/>
      <c r="G30" s="1"/>
      <c r="H30" s="1"/>
      <c r="I30" s="1"/>
      <c r="J30" s="19">
        <f>(D30*D$59)+(E30*E$59)+(F30*F$59)+(G30*G$59)+(H30*H$59)+(I30*I$59)</f>
        <v>440</v>
      </c>
      <c r="K30" s="15">
        <f t="shared" ref="K30:K33" si="0">IF(D30&gt;=100, 250, IF(D30&gt;=50, 150, IF(D30&gt;=30, 50, "")))</f>
        <v>150</v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150</v>
      </c>
      <c r="T30" s="14">
        <f>R30+J30</f>
        <v>590</v>
      </c>
      <c r="V30" s="28">
        <v>2</v>
      </c>
      <c r="W30" s="29">
        <v>45772</v>
      </c>
      <c r="X30" s="45">
        <v>1755</v>
      </c>
      <c r="Y30" s="45">
        <v>-350</v>
      </c>
      <c r="Z30" s="45">
        <v>-970</v>
      </c>
      <c r="AA30" s="45">
        <v>-435</v>
      </c>
    </row>
    <row r="31" spans="2:36" x14ac:dyDescent="0.3">
      <c r="B31" s="67"/>
      <c r="C31" s="4" t="s">
        <v>131</v>
      </c>
      <c r="D31" s="18"/>
      <c r="E31" s="1">
        <v>2</v>
      </c>
      <c r="F31" s="1"/>
      <c r="G31" s="1"/>
      <c r="H31" s="1"/>
      <c r="I31" s="1"/>
      <c r="J31" s="19">
        <f>(D31*D$59)+(E31*E$59)+(F31*F$59)+(G31*G$59)+(H31*H$59)+(I31*I$59)</f>
        <v>200</v>
      </c>
      <c r="K31" s="15" t="str">
        <f t="shared" si="0"/>
        <v/>
      </c>
      <c r="L31" s="20">
        <f t="shared" si="1"/>
        <v>50</v>
      </c>
      <c r="M31" s="20" t="s">
        <v>258</v>
      </c>
      <c r="N31" s="20"/>
      <c r="O31" s="20"/>
      <c r="P31" s="1"/>
      <c r="Q31" s="1"/>
      <c r="R31" s="17">
        <f>SUM(K31:Q31)</f>
        <v>50</v>
      </c>
      <c r="T31" s="14">
        <f>R31+J31</f>
        <v>250</v>
      </c>
      <c r="V31" s="28">
        <v>3</v>
      </c>
      <c r="W31" s="29">
        <v>45774</v>
      </c>
      <c r="X31" s="45">
        <v>-960</v>
      </c>
      <c r="Y31" s="45">
        <v>-545</v>
      </c>
      <c r="Z31" s="45">
        <v>-415</v>
      </c>
      <c r="AA31" s="45">
        <v>1920</v>
      </c>
    </row>
    <row r="32" spans="2:36" x14ac:dyDescent="0.3">
      <c r="B32" s="67"/>
      <c r="C32" s="4" t="s">
        <v>225</v>
      </c>
      <c r="D32" s="18">
        <v>5</v>
      </c>
      <c r="E32" s="1"/>
      <c r="F32" s="1"/>
      <c r="G32" s="1"/>
      <c r="H32" s="1">
        <v>1</v>
      </c>
      <c r="I32" s="1"/>
      <c r="J32" s="19">
        <f>(D32*D$59)+(E32*E$59)+(F32*F$59)+(G32*G$59)+(H32*H$59)+(I32*I$59)</f>
        <v>75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75</v>
      </c>
      <c r="V32" s="28">
        <v>4</v>
      </c>
      <c r="W32" s="29">
        <v>45774</v>
      </c>
      <c r="X32" s="45">
        <v>-795</v>
      </c>
      <c r="Y32" s="45">
        <v>1970</v>
      </c>
      <c r="Z32" s="45">
        <v>-955</v>
      </c>
      <c r="AA32" s="45">
        <v>-220</v>
      </c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332</v>
      </c>
      <c r="D33" s="9"/>
      <c r="E33" s="10">
        <v>1</v>
      </c>
      <c r="F33" s="10"/>
      <c r="G33" s="10"/>
      <c r="H33" s="10"/>
      <c r="I33" s="10"/>
      <c r="J33" s="11">
        <f>(D33*D$59)+(E33*E$59)+(F33*F$59)+(G33*G$59)+(H33*H$59)+(I33*I$59)</f>
        <v>100</v>
      </c>
      <c r="K33" s="12" t="str">
        <f t="shared" si="0"/>
        <v/>
      </c>
      <c r="L33" s="12" t="str">
        <f t="shared" si="1"/>
        <v/>
      </c>
      <c r="M33" s="12" t="s">
        <v>258</v>
      </c>
      <c r="N33" s="12"/>
      <c r="O33" s="12"/>
      <c r="P33" s="10"/>
      <c r="Q33" s="10"/>
      <c r="R33" s="13">
        <f>SUM(K33:Q33)</f>
        <v>0</v>
      </c>
      <c r="T33" s="22">
        <f>(R33+J33)</f>
        <v>100</v>
      </c>
      <c r="V33" s="28">
        <v>5</v>
      </c>
      <c r="W33" s="29">
        <v>45775</v>
      </c>
      <c r="X33" s="28">
        <v>-1605</v>
      </c>
      <c r="Y33" s="28">
        <v>-670</v>
      </c>
      <c r="Z33" s="28">
        <v>-1050</v>
      </c>
      <c r="AA33" s="28">
        <v>3325</v>
      </c>
      <c r="AC33" s="28" t="s">
        <v>211</v>
      </c>
      <c r="AD33" s="28">
        <f>T34</f>
        <v>1085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63">
        <f>SUM(T29:T33)</f>
        <v>1085</v>
      </c>
      <c r="V34" s="28">
        <v>6</v>
      </c>
      <c r="W34" s="29">
        <v>45776</v>
      </c>
      <c r="X34" s="28">
        <v>-590</v>
      </c>
      <c r="Y34" s="28">
        <v>-770</v>
      </c>
      <c r="Z34" s="28">
        <v>-385</v>
      </c>
      <c r="AA34" s="28">
        <v>1745</v>
      </c>
      <c r="AC34" s="28" t="s">
        <v>96</v>
      </c>
      <c r="AD34" s="28">
        <f>T40</f>
        <v>1045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64" t="s">
        <v>227</v>
      </c>
      <c r="D35" s="23">
        <v>23</v>
      </c>
      <c r="E35" s="6"/>
      <c r="F35" s="6"/>
      <c r="G35" s="6"/>
      <c r="H35" s="6">
        <v>1</v>
      </c>
      <c r="I35" s="6"/>
      <c r="J35" s="7">
        <f>(D35*D$59)+(E35*E$59)+(F35*F$59)+(G35*G$59)+(H35*H$59)+(I35*I$59)</f>
        <v>165</v>
      </c>
      <c r="K35" s="23" t="str">
        <f t="shared" ref="K35:K39" si="2">IF(D35&gt;=100, 250, IF(D35&gt;=50, 150, IF(D35&gt;=30, 50, "")))</f>
        <v/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0</v>
      </c>
      <c r="T35" s="33">
        <f>(R35+J35)*2</f>
        <v>330</v>
      </c>
      <c r="V35" s="28">
        <v>7</v>
      </c>
      <c r="W35" s="29">
        <v>45777</v>
      </c>
      <c r="X35" s="28">
        <f>T34-T46</f>
        <v>-1425</v>
      </c>
      <c r="Y35" s="28">
        <f>T40-T46</f>
        <v>-1465</v>
      </c>
      <c r="Z35" s="28">
        <f>-(X35+Y35+AA35)</f>
        <v>4080</v>
      </c>
      <c r="AA35" s="28">
        <f>T52-T46</f>
        <v>-1190</v>
      </c>
      <c r="AC35" s="28" t="s">
        <v>97</v>
      </c>
      <c r="AD35" s="28">
        <f>T46</f>
        <v>2510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59</v>
      </c>
      <c r="D36" s="20">
        <v>17</v>
      </c>
      <c r="E36" s="1">
        <v>1</v>
      </c>
      <c r="F36" s="1"/>
      <c r="G36" s="1"/>
      <c r="H36" s="1">
        <v>1</v>
      </c>
      <c r="I36" s="1"/>
      <c r="J36" s="19">
        <f>(D36*D$59)+(E36*E$59)+(F36*F$59)+(G36*G$59)+(H36*H$59)+(I36*I$59)</f>
        <v>235</v>
      </c>
      <c r="K36" s="15" t="str">
        <f t="shared" si="2"/>
        <v/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0</v>
      </c>
      <c r="T36" s="14">
        <f>R36+J36</f>
        <v>235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1320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135</v>
      </c>
      <c r="D37" s="20">
        <v>11</v>
      </c>
      <c r="E37" s="1"/>
      <c r="F37" s="1"/>
      <c r="G37" s="1"/>
      <c r="H37" s="1"/>
      <c r="I37" s="1"/>
      <c r="J37" s="19">
        <f>(D37*D$59)+(E37*E$59)+(F37*F$59)+(G37*G$59)+(H37*H$59)+(I37*I$59)</f>
        <v>55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55</v>
      </c>
      <c r="V37" s="28"/>
      <c r="W37" s="29"/>
      <c r="X37" s="28"/>
      <c r="Y37" s="28"/>
      <c r="Z37" s="28"/>
      <c r="AA37" s="28"/>
      <c r="AF37" s="49" t="s">
        <v>284</v>
      </c>
      <c r="AG37" s="49">
        <v>7915</v>
      </c>
      <c r="AH37" s="49">
        <v>-8325</v>
      </c>
      <c r="AI37" s="49">
        <v>-2815</v>
      </c>
      <c r="AJ37" s="49">
        <v>3225</v>
      </c>
    </row>
    <row r="38" spans="2:36" x14ac:dyDescent="0.3">
      <c r="B38" s="67"/>
      <c r="C38" s="19" t="s">
        <v>123</v>
      </c>
      <c r="D38" s="20">
        <v>4</v>
      </c>
      <c r="E38" s="1">
        <v>2</v>
      </c>
      <c r="F38" s="1"/>
      <c r="G38" s="1"/>
      <c r="H38" s="1">
        <v>1</v>
      </c>
      <c r="I38" s="1"/>
      <c r="J38" s="19">
        <f>(D38*D$59)+(E38*E$59)+(F38*F$59)+(G38*G$59)+(H38*H$59)+(I38*I$59)</f>
        <v>270</v>
      </c>
      <c r="K38" s="15" t="str">
        <f t="shared" si="2"/>
        <v/>
      </c>
      <c r="L38" s="20">
        <f t="shared" si="3"/>
        <v>50</v>
      </c>
      <c r="M38" s="20"/>
      <c r="N38" s="20"/>
      <c r="O38" s="20"/>
      <c r="P38" s="1"/>
      <c r="Q38" s="1"/>
      <c r="R38" s="17">
        <f>SUM(K38:Q38)</f>
        <v>50</v>
      </c>
      <c r="T38" s="14">
        <f>R38+J38</f>
        <v>320</v>
      </c>
      <c r="V38" s="28"/>
      <c r="W38" s="29"/>
      <c r="X38" s="28"/>
      <c r="Y38" s="28"/>
      <c r="Z38" s="28"/>
      <c r="AA38" s="28"/>
      <c r="AF38" s="49" t="s">
        <v>308</v>
      </c>
      <c r="AG38" s="49">
        <f>X28</f>
        <v>-5370</v>
      </c>
      <c r="AH38" s="49">
        <f>Y28</f>
        <v>2215</v>
      </c>
      <c r="AI38" s="49">
        <f>Z28</f>
        <v>-975</v>
      </c>
      <c r="AJ38" s="49">
        <f>AA28</f>
        <v>4130</v>
      </c>
    </row>
    <row r="39" spans="2:36" ht="15" thickBot="1" x14ac:dyDescent="0.35">
      <c r="B39" s="68"/>
      <c r="C39" s="11" t="s">
        <v>261</v>
      </c>
      <c r="D39" s="12">
        <v>11</v>
      </c>
      <c r="E39" s="10"/>
      <c r="F39" s="10"/>
      <c r="G39" s="10"/>
      <c r="H39" s="10">
        <v>1</v>
      </c>
      <c r="I39" s="10"/>
      <c r="J39" s="11">
        <f>(D39*D$59)+(E39*E$59)+(F39*F$59)+(G39*G$59)+(H39*H$59)+(I39*I$59)</f>
        <v>105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105</v>
      </c>
      <c r="V39" s="28"/>
      <c r="W39" s="29"/>
      <c r="X39" s="28"/>
      <c r="Y39" s="28"/>
      <c r="Z39" s="28"/>
      <c r="AA39" s="28"/>
      <c r="AF39" s="49" t="s">
        <v>0</v>
      </c>
      <c r="AG39" s="49">
        <f>SUM(AG33:AG38)</f>
        <v>8260</v>
      </c>
      <c r="AH39" s="49">
        <f t="shared" ref="AH39:AJ39" si="4">SUM(AH33:AH38)</f>
        <v>-1035</v>
      </c>
      <c r="AI39" s="49">
        <f t="shared" si="4"/>
        <v>2350</v>
      </c>
      <c r="AJ39" s="49">
        <f t="shared" si="4"/>
        <v>-9575</v>
      </c>
    </row>
    <row r="40" spans="2:36" ht="15" thickBot="1" x14ac:dyDescent="0.35">
      <c r="K40" s="2" t="s">
        <v>258</v>
      </c>
      <c r="L40" s="2" t="s">
        <v>258</v>
      </c>
      <c r="T40" s="63">
        <f>SUM(T35:T39)</f>
        <v>1045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64" t="s">
        <v>330</v>
      </c>
      <c r="D41" s="23">
        <v>32</v>
      </c>
      <c r="E41" s="6"/>
      <c r="F41" s="6"/>
      <c r="G41" s="6"/>
      <c r="H41" s="6">
        <v>2</v>
      </c>
      <c r="I41" s="6"/>
      <c r="J41" s="7">
        <f>(D41*D$59)+(E41*E$59)+(F41*F$59)+(G41*G$59)+(H41*H$59)+(I41*I$59)</f>
        <v>260</v>
      </c>
      <c r="K41" s="23">
        <f t="shared" ref="K41:K45" si="5">IF(D41&gt;=100, 250, IF(D41&gt;=50, 150, IF(D41&gt;=30, 50, "")))</f>
        <v>50</v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50</v>
      </c>
      <c r="T41" s="33">
        <f>(R41+J41)*2</f>
        <v>620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224</v>
      </c>
      <c r="D42" s="20">
        <v>72</v>
      </c>
      <c r="E42" s="1"/>
      <c r="F42" s="1"/>
      <c r="G42" s="1"/>
      <c r="H42" s="1">
        <v>1</v>
      </c>
      <c r="I42" s="1"/>
      <c r="J42" s="19">
        <f>(D42*D$59)+(E42*E$59)+(F42*F$59)+(G42*G$59)+(H42*H$59)+(I42*I$59)</f>
        <v>410</v>
      </c>
      <c r="K42" s="15">
        <f t="shared" si="5"/>
        <v>150</v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150</v>
      </c>
      <c r="T42" s="14">
        <f>R42+J42</f>
        <v>560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278</v>
      </c>
      <c r="D43" s="20">
        <v>6</v>
      </c>
      <c r="E43" s="1"/>
      <c r="F43" s="1"/>
      <c r="G43" s="1"/>
      <c r="H43" s="1">
        <v>2</v>
      </c>
      <c r="I43" s="1"/>
      <c r="J43" s="19">
        <f>(D43*D$59)+(E43*E$59)+(F43*F$59)+(G43*G$59)+(H43*H$59)+(I43*I$59)</f>
        <v>130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130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127</v>
      </c>
      <c r="D44" s="20"/>
      <c r="E44" s="1">
        <v>4</v>
      </c>
      <c r="F44" s="1"/>
      <c r="G44" s="1"/>
      <c r="H44" s="1"/>
      <c r="I44" s="1"/>
      <c r="J44" s="19">
        <f>(D44*D$59)+(E44*E$59)+(F44*F$59)+(G44*G$59)+(H44*H$59)+(I44*I$59)</f>
        <v>400</v>
      </c>
      <c r="K44" s="15" t="str">
        <f t="shared" si="5"/>
        <v/>
      </c>
      <c r="L44" s="20">
        <v>150</v>
      </c>
      <c r="M44" s="20"/>
      <c r="N44" s="20"/>
      <c r="O44" s="20"/>
      <c r="P44" s="1">
        <v>400</v>
      </c>
      <c r="Q44" s="1"/>
      <c r="R44" s="17">
        <f>SUM(K44:Q44)</f>
        <v>550</v>
      </c>
      <c r="T44" s="14">
        <f>R44+J44</f>
        <v>950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181</v>
      </c>
      <c r="D45" s="12"/>
      <c r="E45" s="10">
        <v>2</v>
      </c>
      <c r="F45" s="10"/>
      <c r="G45" s="10"/>
      <c r="H45" s="10"/>
      <c r="I45" s="10"/>
      <c r="J45" s="11">
        <f>(D45*D$59)+(E45*E$59)+(F45*F$59)+(G45*G$59)+(H45*H$59)+(I45*I$59)</f>
        <v>200</v>
      </c>
      <c r="K45" s="12" t="str">
        <f t="shared" si="5"/>
        <v/>
      </c>
      <c r="L45" s="12">
        <f t="shared" si="6"/>
        <v>50</v>
      </c>
      <c r="M45" s="12"/>
      <c r="N45" s="12"/>
      <c r="O45" s="12"/>
      <c r="P45" s="10"/>
      <c r="Q45" s="10"/>
      <c r="R45" s="13">
        <f>SUM(K45:Q45)</f>
        <v>50</v>
      </c>
      <c r="T45" s="34">
        <f>R45+J45</f>
        <v>250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63">
        <f>SUM(T41:T45)</f>
        <v>2510</v>
      </c>
      <c r="V46" s="28"/>
      <c r="W46" s="29"/>
      <c r="X46" s="28"/>
      <c r="Y46" s="28"/>
      <c r="Z46" s="28"/>
      <c r="AA46" s="28"/>
      <c r="AG46" s="3" t="s">
        <v>329</v>
      </c>
    </row>
    <row r="47" spans="2:36" x14ac:dyDescent="0.3">
      <c r="B47" s="66" t="s">
        <v>285</v>
      </c>
      <c r="C47" s="64" t="s">
        <v>134</v>
      </c>
      <c r="D47" s="23">
        <v>54</v>
      </c>
      <c r="E47" s="6"/>
      <c r="F47" s="6"/>
      <c r="G47" s="6"/>
      <c r="H47" s="6"/>
      <c r="I47" s="6"/>
      <c r="J47" s="7">
        <f>(D47*D$59)+(E47*E$59)+(F47*F$59)+(G47*G$59)+(H47*H$59)+(I47*I$59)</f>
        <v>270</v>
      </c>
      <c r="K47" s="23">
        <f t="shared" ref="K47:K51" si="7">IF(D47&gt;=100, 250, IF(D47&gt;=50, 150, IF(D47&gt;=30, 50, "")))</f>
        <v>150</v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150</v>
      </c>
      <c r="T47" s="33">
        <f>(R47+J47)*2</f>
        <v>840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66</v>
      </c>
      <c r="D48" s="20">
        <v>6</v>
      </c>
      <c r="E48" s="1"/>
      <c r="F48" s="1"/>
      <c r="G48" s="1"/>
      <c r="H48" s="1"/>
      <c r="I48" s="1"/>
      <c r="J48" s="19">
        <f>(D48*D$59)+(E48*E$59)+(F48*F$59)+(G48*G$59)+(H48*H$59)+(I48*I$59)</f>
        <v>30</v>
      </c>
      <c r="K48" s="15" t="str">
        <f t="shared" si="7"/>
        <v/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0</v>
      </c>
      <c r="T48" s="14">
        <f>R48+J48</f>
        <v>30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26</v>
      </c>
      <c r="D49" s="20">
        <v>0</v>
      </c>
      <c r="E49" s="1">
        <v>1</v>
      </c>
      <c r="F49" s="1"/>
      <c r="G49" s="1"/>
      <c r="H49" s="1">
        <v>1</v>
      </c>
      <c r="I49" s="1">
        <v>1</v>
      </c>
      <c r="J49" s="19">
        <f>(D49*D$59)+(E49*E$59)+(F49*F$59)+(G49*G$59)+(H49*H$59)+(I49*I$59)</f>
        <v>100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100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77</v>
      </c>
      <c r="D50" s="20"/>
      <c r="E50" s="1">
        <v>2</v>
      </c>
      <c r="F50" s="1"/>
      <c r="G50" s="1"/>
      <c r="H50" s="1"/>
      <c r="I50" s="1"/>
      <c r="J50" s="19">
        <f>(D50*D$59)+(E50*E$59)+(F50*F$59)+(G50*G$59)+(H50*H$59)+(I50*I$59)</f>
        <v>200</v>
      </c>
      <c r="K50" s="15" t="str">
        <f t="shared" si="7"/>
        <v/>
      </c>
      <c r="L50" s="20">
        <f t="shared" si="8"/>
        <v>50</v>
      </c>
      <c r="M50" s="20" t="s">
        <v>258</v>
      </c>
      <c r="N50" s="20"/>
      <c r="O50" s="20"/>
      <c r="P50" s="1"/>
      <c r="Q50" s="1"/>
      <c r="R50" s="17">
        <f>SUM(K50:Q50)</f>
        <v>50</v>
      </c>
      <c r="T50" s="14">
        <f>R50+J50</f>
        <v>250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128</v>
      </c>
      <c r="D51" s="12"/>
      <c r="E51" s="10">
        <v>1</v>
      </c>
      <c r="F51" s="10"/>
      <c r="G51" s="10"/>
      <c r="H51" s="10"/>
      <c r="I51" s="10"/>
      <c r="J51" s="11">
        <f>(D51*D$59)+(E51*E$59)+(F51*F$59)+(G51*G$59)+(H51*H$59)+(I51*I$59)</f>
        <v>100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100</v>
      </c>
      <c r="V51" s="28"/>
      <c r="W51" s="29"/>
      <c r="X51" s="28"/>
      <c r="Y51" s="28"/>
      <c r="Z51" s="28"/>
      <c r="AA51" s="28"/>
    </row>
    <row r="52" spans="2:30" ht="15" thickBot="1" x14ac:dyDescent="0.35">
      <c r="T52" s="63">
        <f>SUM(T47:T51)</f>
        <v>1320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-1750</v>
      </c>
      <c r="Y60" s="42">
        <f>SUM(Y61:Y68)</f>
        <v>5120</v>
      </c>
      <c r="Z60" s="42">
        <f>SUM(Z61:Z68)</f>
        <v>-3620</v>
      </c>
      <c r="AA60" s="42">
        <f>SUM(AA61:AA68)</f>
        <v>250</v>
      </c>
    </row>
    <row r="61" spans="2:30" x14ac:dyDescent="0.3">
      <c r="B61" s="66" t="s">
        <v>211</v>
      </c>
      <c r="C61" s="38" t="s">
        <v>20</v>
      </c>
      <c r="D61" s="5">
        <v>22</v>
      </c>
      <c r="E61" s="6"/>
      <c r="F61" s="6"/>
      <c r="G61" s="6"/>
      <c r="H61" s="6"/>
      <c r="I61" s="6"/>
      <c r="J61" s="7">
        <f>(D61*D$59)+(E61*E$59)+(F61*F$59)+(G61*G$59)+(H61*H$59)+(I61*I$59)</f>
        <v>110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220</v>
      </c>
      <c r="V61" s="28">
        <v>1</v>
      </c>
      <c r="W61" s="29" t="s">
        <v>312</v>
      </c>
      <c r="X61" s="28">
        <v>-1750</v>
      </c>
      <c r="Y61" s="28">
        <v>4045</v>
      </c>
      <c r="Z61" s="28">
        <v>-1280</v>
      </c>
      <c r="AA61" s="28">
        <v>-1015</v>
      </c>
    </row>
    <row r="62" spans="2:30" x14ac:dyDescent="0.3">
      <c r="B62" s="67"/>
      <c r="C62" s="4" t="s">
        <v>320</v>
      </c>
      <c r="D62" s="18">
        <v>12</v>
      </c>
      <c r="E62" s="1"/>
      <c r="F62" s="1"/>
      <c r="G62" s="1"/>
      <c r="H62" s="1">
        <v>1</v>
      </c>
      <c r="I62" s="1"/>
      <c r="J62" s="19">
        <f t="shared" ref="J62:J65" si="9">(D62*D$59)+(E62*E$59)+(F62*F$59)+(G62*G$59)+(H62*H$59)+(I62*I$59)</f>
        <v>110</v>
      </c>
      <c r="K62" s="15" t="str">
        <f t="shared" ref="K62:K65" si="10">IF(D62&gt;=100, 250, IF(D62&gt;=50, 150, IF(D62&gt;=30, 50, "")))</f>
        <v/>
      </c>
      <c r="L62" s="20" t="str">
        <f t="shared" ref="L62:L65" si="11">IF(E62=5, 200, IF(E62=3, 150, IF(E62=2, 50, "")))</f>
        <v/>
      </c>
      <c r="M62" s="20" t="s">
        <v>258</v>
      </c>
      <c r="N62" s="20"/>
      <c r="O62" s="20"/>
      <c r="P62" s="1"/>
      <c r="Q62" s="1"/>
      <c r="R62" s="17">
        <f>SUM(K62:Q62)</f>
        <v>0</v>
      </c>
      <c r="T62" s="14">
        <f>R62+J62</f>
        <v>110</v>
      </c>
      <c r="V62" s="28">
        <v>2</v>
      </c>
      <c r="W62" s="29">
        <v>45772</v>
      </c>
      <c r="X62" s="45">
        <v>1755</v>
      </c>
      <c r="Y62" s="45">
        <v>-350</v>
      </c>
      <c r="Z62" s="45">
        <v>-970</v>
      </c>
      <c r="AA62" s="45">
        <v>-435</v>
      </c>
    </row>
    <row r="63" spans="2:30" x14ac:dyDescent="0.3">
      <c r="B63" s="67"/>
      <c r="C63" s="4" t="s">
        <v>321</v>
      </c>
      <c r="D63" s="18"/>
      <c r="E63" s="1">
        <v>2</v>
      </c>
      <c r="F63" s="1"/>
      <c r="G63" s="1"/>
      <c r="H63" s="1">
        <v>1</v>
      </c>
      <c r="I63" s="1"/>
      <c r="J63" s="19">
        <f t="shared" si="9"/>
        <v>250</v>
      </c>
      <c r="K63" s="15" t="str">
        <f t="shared" si="10"/>
        <v/>
      </c>
      <c r="L63" s="20">
        <f t="shared" si="11"/>
        <v>50</v>
      </c>
      <c r="M63" s="20" t="s">
        <v>258</v>
      </c>
      <c r="N63" s="20"/>
      <c r="O63" s="20"/>
      <c r="P63" s="1"/>
      <c r="Q63" s="1"/>
      <c r="R63" s="17">
        <f>SUM(K63:Q63)</f>
        <v>50</v>
      </c>
      <c r="T63" s="14">
        <f>R63+J63</f>
        <v>300</v>
      </c>
      <c r="V63" s="28">
        <v>3</v>
      </c>
      <c r="W63" s="29">
        <v>45774</v>
      </c>
      <c r="X63" s="45">
        <v>-960</v>
      </c>
      <c r="Y63" s="45">
        <v>-545</v>
      </c>
      <c r="Z63" s="45">
        <v>-415</v>
      </c>
      <c r="AA63" s="45">
        <v>1920</v>
      </c>
      <c r="AC63" s="50" t="s">
        <v>5</v>
      </c>
      <c r="AD63" s="50" t="s">
        <v>235</v>
      </c>
    </row>
    <row r="64" spans="2:30" x14ac:dyDescent="0.3">
      <c r="B64" s="67"/>
      <c r="C64" s="4" t="s">
        <v>322</v>
      </c>
      <c r="D64" s="18"/>
      <c r="E64" s="1"/>
      <c r="F64" s="1"/>
      <c r="G64" s="1"/>
      <c r="H64" s="1"/>
      <c r="I64" s="1"/>
      <c r="J64" s="19">
        <f t="shared" si="9"/>
        <v>0</v>
      </c>
      <c r="K64" s="15" t="str">
        <f t="shared" si="10"/>
        <v/>
      </c>
      <c r="L64" s="20" t="str">
        <f t="shared" si="11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29">
        <v>45774</v>
      </c>
      <c r="X64" s="45">
        <f>T66-T72</f>
        <v>-795</v>
      </c>
      <c r="Y64" s="45">
        <f>-(X64+Z64+AA64)</f>
        <v>1970</v>
      </c>
      <c r="Z64" s="45">
        <f>T78-T72</f>
        <v>-955</v>
      </c>
      <c r="AA64" s="45">
        <f>T84-T72</f>
        <v>-220</v>
      </c>
      <c r="AC64" s="28" t="s">
        <v>211</v>
      </c>
      <c r="AD64" s="28">
        <f>T66</f>
        <v>730</v>
      </c>
    </row>
    <row r="65" spans="2:30" ht="15" thickBot="1" x14ac:dyDescent="0.35">
      <c r="B65" s="68"/>
      <c r="C65" s="21" t="s">
        <v>304</v>
      </c>
      <c r="D65" s="9"/>
      <c r="E65" s="10">
        <v>1</v>
      </c>
      <c r="F65" s="10"/>
      <c r="G65" s="10"/>
      <c r="H65" s="10"/>
      <c r="I65" s="10"/>
      <c r="J65" s="11">
        <f t="shared" si="9"/>
        <v>100</v>
      </c>
      <c r="K65" s="12" t="str">
        <f t="shared" si="10"/>
        <v/>
      </c>
      <c r="L65" s="12" t="str">
        <f t="shared" si="11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100</v>
      </c>
      <c r="V65" s="28">
        <v>5</v>
      </c>
      <c r="W65" s="29"/>
      <c r="X65" s="28"/>
      <c r="Y65" s="28"/>
      <c r="Z65" s="28"/>
      <c r="AA65" s="28"/>
      <c r="AC65" s="28" t="s">
        <v>96</v>
      </c>
      <c r="AD65" s="28">
        <f>T72</f>
        <v>1525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730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570</v>
      </c>
    </row>
    <row r="67" spans="2:30" x14ac:dyDescent="0.3">
      <c r="B67" s="66" t="s">
        <v>96</v>
      </c>
      <c r="C67" s="39" t="s">
        <v>19</v>
      </c>
      <c r="D67" s="23">
        <v>51</v>
      </c>
      <c r="E67" s="6"/>
      <c r="F67" s="6">
        <v>1</v>
      </c>
      <c r="G67" s="6"/>
      <c r="H67" s="6">
        <v>1</v>
      </c>
      <c r="I67" s="6"/>
      <c r="J67" s="7">
        <f>(D67*D$59)+(E67*E$59)+(F67*F$59)+(G67*G$59)+(H67*H$59)+(I67*I$59)</f>
        <v>355</v>
      </c>
      <c r="K67" s="23">
        <f t="shared" ref="K67:K71" si="12">IF(D67&gt;=100, 250, IF(D67&gt;=50, 150, IF(D67&gt;=30, 50, "")))</f>
        <v>150</v>
      </c>
      <c r="L67" s="23" t="str">
        <f t="shared" ref="L67:L71" si="13">IF(E67=5, 200, IF(E67=3, 150, IF(E67=2, 50, "")))</f>
        <v/>
      </c>
      <c r="M67" s="23"/>
      <c r="N67" s="23"/>
      <c r="O67" s="23"/>
      <c r="P67" s="6"/>
      <c r="Q67" s="6"/>
      <c r="R67" s="24">
        <f>SUM(K67:Q67)</f>
        <v>150</v>
      </c>
      <c r="T67" s="33">
        <f>(R67+J67)*2</f>
        <v>1010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1305</v>
      </c>
    </row>
    <row r="68" spans="2:30" x14ac:dyDescent="0.3">
      <c r="B68" s="67"/>
      <c r="C68" s="19" t="s">
        <v>71</v>
      </c>
      <c r="D68" s="20">
        <v>28</v>
      </c>
      <c r="E68" s="1"/>
      <c r="F68" s="1"/>
      <c r="G68" s="1"/>
      <c r="H68" s="1"/>
      <c r="I68" s="1"/>
      <c r="J68" s="19">
        <f t="shared" ref="J68:J71" si="14">(D68*D$59)+(E68*E$59)+(F68*F$59)+(G68*G$59)+(H68*H$59)+(I68*I$59)</f>
        <v>140</v>
      </c>
      <c r="K68" s="15" t="str">
        <f t="shared" si="12"/>
        <v/>
      </c>
      <c r="L68" s="20" t="str">
        <f t="shared" si="13"/>
        <v/>
      </c>
      <c r="M68" s="20"/>
      <c r="N68" s="20"/>
      <c r="O68" s="20"/>
      <c r="P68" s="1"/>
      <c r="Q68" s="1"/>
      <c r="R68" s="17">
        <f>SUM(K68:Q68)</f>
        <v>0</v>
      </c>
      <c r="T68" s="14">
        <f>R68+J68</f>
        <v>140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44</v>
      </c>
      <c r="D69" s="20">
        <v>15</v>
      </c>
      <c r="E69" s="1">
        <v>2</v>
      </c>
      <c r="F69" s="1"/>
      <c r="G69" s="1"/>
      <c r="H69" s="1"/>
      <c r="I69" s="1"/>
      <c r="J69" s="19">
        <f t="shared" si="14"/>
        <v>275</v>
      </c>
      <c r="K69" s="15" t="str">
        <f t="shared" si="12"/>
        <v/>
      </c>
      <c r="L69" s="20">
        <f t="shared" si="13"/>
        <v>50</v>
      </c>
      <c r="M69" s="20"/>
      <c r="N69" s="20"/>
      <c r="O69" s="20"/>
      <c r="P69" s="1"/>
      <c r="Q69" s="1"/>
      <c r="R69" s="17">
        <f>SUM(K69:Q69)</f>
        <v>50</v>
      </c>
      <c r="T69" s="14">
        <f>R69+J69</f>
        <v>325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65</v>
      </c>
      <c r="D70" s="20"/>
      <c r="E70" s="1"/>
      <c r="F70" s="1"/>
      <c r="G70" s="1"/>
      <c r="H70" s="1">
        <v>1</v>
      </c>
      <c r="I70" s="1"/>
      <c r="J70" s="19">
        <f t="shared" si="14"/>
        <v>50</v>
      </c>
      <c r="K70" s="15" t="str">
        <f t="shared" si="12"/>
        <v/>
      </c>
      <c r="L70" s="20" t="str">
        <f t="shared" si="13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50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62</v>
      </c>
      <c r="D71" s="12"/>
      <c r="E71" s="10"/>
      <c r="F71" s="10"/>
      <c r="G71" s="10"/>
      <c r="H71" s="10"/>
      <c r="I71" s="10"/>
      <c r="J71" s="11">
        <f t="shared" si="14"/>
        <v>0</v>
      </c>
      <c r="K71" s="12" t="str">
        <f t="shared" si="12"/>
        <v/>
      </c>
      <c r="L71" s="12" t="str">
        <f t="shared" si="13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1525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323</v>
      </c>
      <c r="D73" s="23">
        <v>4</v>
      </c>
      <c r="E73" s="6"/>
      <c r="F73" s="6">
        <v>2</v>
      </c>
      <c r="G73" s="6"/>
      <c r="H73" s="6">
        <v>1</v>
      </c>
      <c r="I73" s="6"/>
      <c r="J73" s="7">
        <f>(D73*D$59)+(E73*E$59)+(F73*F$59)+(G73*G$59)+(H73*H$59)+(I73*I$59)</f>
        <v>170</v>
      </c>
      <c r="K73" s="23" t="str">
        <f t="shared" ref="K73:K77" si="15">IF(D73&gt;=100, 250, IF(D73&gt;=50, 150, IF(D73&gt;=30, 50, "")))</f>
        <v/>
      </c>
      <c r="L73" s="23" t="str">
        <f t="shared" ref="L73:L77" si="16">IF(E73=5, 200, IF(E73=3, 150, IF(E73=2, 50, "")))</f>
        <v/>
      </c>
      <c r="M73" s="23"/>
      <c r="N73" s="23"/>
      <c r="O73" s="23"/>
      <c r="P73" s="6"/>
      <c r="Q73" s="6"/>
      <c r="R73" s="24">
        <f>SUM(K73:Q73)</f>
        <v>0</v>
      </c>
      <c r="T73" s="33">
        <f>(R73+J73)*2</f>
        <v>340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324</v>
      </c>
      <c r="D74" s="20">
        <v>0</v>
      </c>
      <c r="E74" s="1"/>
      <c r="F74" s="1"/>
      <c r="G74" s="1"/>
      <c r="H74" s="1"/>
      <c r="I74" s="1">
        <v>1</v>
      </c>
      <c r="J74" s="19">
        <f t="shared" ref="J74:J77" si="17">(D74*D$59)+(E74*E$59)+(F74*F$59)+(G74*G$59)+(H74*H$59)+(I74*I$59)</f>
        <v>-50</v>
      </c>
      <c r="K74" s="15" t="str">
        <f t="shared" si="15"/>
        <v/>
      </c>
      <c r="L74" s="20" t="str">
        <f t="shared" si="16"/>
        <v/>
      </c>
      <c r="M74" s="20"/>
      <c r="N74" s="20"/>
      <c r="O74" s="20"/>
      <c r="P74" s="1"/>
      <c r="Q74" s="1"/>
      <c r="R74" s="17">
        <f>SUM(K74:Q74)</f>
        <v>0</v>
      </c>
      <c r="T74" s="14">
        <f>R74+J74</f>
        <v>-50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45</v>
      </c>
      <c r="D75" s="20">
        <v>34</v>
      </c>
      <c r="E75" s="1"/>
      <c r="F75" s="1"/>
      <c r="G75" s="1"/>
      <c r="H75" s="1"/>
      <c r="I75" s="1"/>
      <c r="J75" s="19">
        <f t="shared" si="17"/>
        <v>170</v>
      </c>
      <c r="K75" s="15">
        <f t="shared" si="15"/>
        <v>50</v>
      </c>
      <c r="L75" s="20" t="str">
        <f t="shared" si="16"/>
        <v/>
      </c>
      <c r="M75" s="20"/>
      <c r="N75" s="20"/>
      <c r="O75" s="20"/>
      <c r="P75" s="1"/>
      <c r="Q75" s="1"/>
      <c r="R75" s="17">
        <f>SUM(K75:Q75)</f>
        <v>50</v>
      </c>
      <c r="T75" s="14">
        <f>R75+J75</f>
        <v>220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175</v>
      </c>
      <c r="D76" s="20">
        <v>12</v>
      </c>
      <c r="E76" s="1"/>
      <c r="F76" s="1"/>
      <c r="G76" s="1"/>
      <c r="H76" s="1"/>
      <c r="I76" s="1"/>
      <c r="J76" s="19">
        <f t="shared" si="17"/>
        <v>60</v>
      </c>
      <c r="K76" s="15" t="str">
        <f t="shared" si="15"/>
        <v/>
      </c>
      <c r="L76" s="20" t="str">
        <f t="shared" si="16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60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294</v>
      </c>
      <c r="D77" s="12"/>
      <c r="E77" s="10"/>
      <c r="F77" s="10"/>
      <c r="G77" s="10"/>
      <c r="H77" s="10"/>
      <c r="I77" s="10"/>
      <c r="J77" s="11">
        <f t="shared" si="17"/>
        <v>0</v>
      </c>
      <c r="K77" s="12" t="str">
        <f t="shared" si="15"/>
        <v/>
      </c>
      <c r="L77" s="12" t="str">
        <f t="shared" si="16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570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256</v>
      </c>
      <c r="D79" s="23">
        <v>41</v>
      </c>
      <c r="E79" s="6"/>
      <c r="F79" s="6"/>
      <c r="G79" s="6"/>
      <c r="H79" s="6"/>
      <c r="I79" s="6"/>
      <c r="J79" s="7">
        <f>(D79*D$59)+(E79*E$59)+(F79*F$59)+(G79*G$59)+(H79*H$59)+(I79*I$59)</f>
        <v>205</v>
      </c>
      <c r="K79" s="23">
        <f t="shared" ref="K79:K83" si="18">IF(D79&gt;=100, 250, IF(D79&gt;=50, 150, IF(D79&gt;=30, 50, "")))</f>
        <v>50</v>
      </c>
      <c r="L79" s="23" t="str">
        <f t="shared" ref="L79:L83" si="19">IF(E79=5, 200, IF(E79=3, 150, IF(E79=2, 50, "")))</f>
        <v/>
      </c>
      <c r="M79" s="23"/>
      <c r="N79" s="23"/>
      <c r="O79" s="23"/>
      <c r="P79" s="6"/>
      <c r="Q79" s="6"/>
      <c r="R79" s="24">
        <f>SUM(K79:Q79)</f>
        <v>50</v>
      </c>
      <c r="T79" s="33">
        <f>(R79+J79)*2</f>
        <v>510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35</v>
      </c>
      <c r="D80" s="20">
        <v>6</v>
      </c>
      <c r="E80" s="1"/>
      <c r="F80" s="1"/>
      <c r="G80" s="1"/>
      <c r="H80" s="1"/>
      <c r="I80" s="1"/>
      <c r="J80" s="19">
        <f t="shared" ref="J80:J83" si="20">(D80*D$59)+(E80*E$59)+(F80*F$59)+(G80*G$59)+(H80*H$59)+(I80*I$59)</f>
        <v>30</v>
      </c>
      <c r="K80" s="15" t="str">
        <f t="shared" si="18"/>
        <v/>
      </c>
      <c r="L80" s="20" t="str">
        <f t="shared" si="19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47</v>
      </c>
      <c r="D81" s="20"/>
      <c r="E81" s="1"/>
      <c r="F81" s="1"/>
      <c r="G81" s="1"/>
      <c r="H81" s="1">
        <v>1</v>
      </c>
      <c r="I81" s="1"/>
      <c r="J81" s="19">
        <f t="shared" si="20"/>
        <v>50</v>
      </c>
      <c r="K81" s="15" t="str">
        <f t="shared" si="18"/>
        <v/>
      </c>
      <c r="L81" s="20" t="str">
        <f t="shared" si="19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241</v>
      </c>
      <c r="D82" s="20">
        <v>73</v>
      </c>
      <c r="E82" s="1">
        <v>1</v>
      </c>
      <c r="F82" s="1"/>
      <c r="G82" s="1"/>
      <c r="H82" s="1"/>
      <c r="I82" s="1"/>
      <c r="J82" s="19">
        <f t="shared" si="20"/>
        <v>465</v>
      </c>
      <c r="K82" s="15">
        <f t="shared" si="18"/>
        <v>150</v>
      </c>
      <c r="L82" s="20" t="str">
        <f t="shared" si="19"/>
        <v/>
      </c>
      <c r="M82" s="20" t="s">
        <v>258</v>
      </c>
      <c r="N82" s="20"/>
      <c r="O82" s="20"/>
      <c r="P82" s="1"/>
      <c r="Q82" s="1"/>
      <c r="R82" s="17">
        <f>SUM(K82:Q82)</f>
        <v>150</v>
      </c>
      <c r="T82" s="14">
        <f>R82+J82</f>
        <v>615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200</v>
      </c>
      <c r="D83" s="12"/>
      <c r="E83" s="10">
        <v>1</v>
      </c>
      <c r="F83" s="10"/>
      <c r="G83" s="10"/>
      <c r="H83" s="10"/>
      <c r="I83" s="10"/>
      <c r="J83" s="11">
        <f t="shared" si="20"/>
        <v>100</v>
      </c>
      <c r="K83" s="12" t="str">
        <f t="shared" si="18"/>
        <v/>
      </c>
      <c r="L83" s="12" t="str">
        <f t="shared" si="19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1305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AJ84"/>
  <sheetViews>
    <sheetView topLeftCell="G1" zoomScale="90" zoomScaleNormal="90" workbookViewId="0">
      <selection activeCell="AK40" sqref="AK40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3" width="11.33203125" style="3" bestFit="1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-3625</v>
      </c>
      <c r="Y28" s="42">
        <f>SUM(Y29:Y36)</f>
        <v>1665</v>
      </c>
      <c r="Z28" s="42">
        <f>SUM(Z29:Z36)</f>
        <v>-2055</v>
      </c>
      <c r="AA28" s="42">
        <f>SUM(AA29:AA36)</f>
        <v>4015</v>
      </c>
    </row>
    <row r="29" spans="2:36" x14ac:dyDescent="0.3">
      <c r="B29" s="66" t="s">
        <v>211</v>
      </c>
      <c r="C29" s="65" t="s">
        <v>271</v>
      </c>
      <c r="D29" s="5">
        <v>61</v>
      </c>
      <c r="E29" s="6"/>
      <c r="F29" s="6"/>
      <c r="G29" s="6"/>
      <c r="H29" s="6"/>
      <c r="I29" s="6"/>
      <c r="J29" s="7">
        <f>(D29*D$59)+(E29*E$59)+(F29*F$59)+(G29*G$59)+(H29*H$59)+(I29*I$59)</f>
        <v>305</v>
      </c>
      <c r="K29" s="15">
        <f>IF(D29&gt;=100, 250, IF(D29&gt;=50, 150, IF(D29&gt;=30, 50, "")))</f>
        <v>150</v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150</v>
      </c>
      <c r="T29" s="14">
        <f>(R29+J29)*2</f>
        <v>910</v>
      </c>
      <c r="V29" s="28">
        <v>1</v>
      </c>
      <c r="W29" s="29">
        <v>45771</v>
      </c>
      <c r="X29" s="28">
        <v>-1750</v>
      </c>
      <c r="Y29" s="28">
        <v>4045</v>
      </c>
      <c r="Z29" s="28">
        <v>-1280</v>
      </c>
      <c r="AA29" s="28">
        <v>-1015</v>
      </c>
    </row>
    <row r="30" spans="2:36" x14ac:dyDescent="0.3">
      <c r="B30" s="67"/>
      <c r="C30" s="4" t="s">
        <v>316</v>
      </c>
      <c r="D30" s="18"/>
      <c r="E30" s="1"/>
      <c r="F30" s="1"/>
      <c r="G30" s="1"/>
      <c r="H30" s="1">
        <v>1</v>
      </c>
      <c r="I30" s="1"/>
      <c r="J30" s="19">
        <f>(D30*D$59)+(E30*E$59)+(F30*F$59)+(G30*G$59)+(H30*H$59)+(I30*I$59)</f>
        <v>50</v>
      </c>
      <c r="K30" s="15" t="str">
        <f t="shared" ref="K30:K33" si="0">IF(D30&gt;=100, 250, IF(D30&gt;=50, 150, IF(D30&gt;=30, 50, "")))</f>
        <v/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0</v>
      </c>
      <c r="T30" s="14">
        <f>R30+J30</f>
        <v>50</v>
      </c>
      <c r="V30" s="28">
        <v>2</v>
      </c>
      <c r="W30" s="29">
        <v>45772</v>
      </c>
      <c r="X30" s="45">
        <v>1755</v>
      </c>
      <c r="Y30" s="45">
        <v>-350</v>
      </c>
      <c r="Z30" s="45">
        <v>-970</v>
      </c>
      <c r="AA30" s="45">
        <v>-435</v>
      </c>
    </row>
    <row r="31" spans="2:36" x14ac:dyDescent="0.3">
      <c r="B31" s="67"/>
      <c r="C31" s="4" t="s">
        <v>240</v>
      </c>
      <c r="D31" s="18"/>
      <c r="E31" s="1">
        <v>2</v>
      </c>
      <c r="F31" s="1"/>
      <c r="G31" s="1"/>
      <c r="H31" s="1">
        <v>1</v>
      </c>
      <c r="I31" s="1"/>
      <c r="J31" s="19">
        <f>(D31*D$59)+(E31*E$59)+(F31*F$59)+(G31*G$59)+(H31*H$59)+(I31*I$59)</f>
        <v>250</v>
      </c>
      <c r="K31" s="15" t="str">
        <f t="shared" si="0"/>
        <v/>
      </c>
      <c r="L31" s="20">
        <f t="shared" si="1"/>
        <v>50</v>
      </c>
      <c r="M31" s="20" t="s">
        <v>258</v>
      </c>
      <c r="N31" s="20"/>
      <c r="O31" s="20"/>
      <c r="P31" s="1"/>
      <c r="Q31" s="1"/>
      <c r="R31" s="17">
        <f>SUM(K31:Q31)</f>
        <v>50</v>
      </c>
      <c r="T31" s="14">
        <f>R31+J31</f>
        <v>300</v>
      </c>
      <c r="V31" s="28">
        <v>3</v>
      </c>
      <c r="W31" s="29">
        <v>45774</v>
      </c>
      <c r="X31" s="45">
        <v>-960</v>
      </c>
      <c r="Y31" s="45">
        <v>-545</v>
      </c>
      <c r="Z31" s="45">
        <v>-415</v>
      </c>
      <c r="AA31" s="45">
        <v>1920</v>
      </c>
    </row>
    <row r="32" spans="2:36" x14ac:dyDescent="0.3">
      <c r="B32" s="67"/>
      <c r="C32" s="4" t="s">
        <v>106</v>
      </c>
      <c r="D32" s="18">
        <v>30</v>
      </c>
      <c r="E32" s="1"/>
      <c r="F32" s="1"/>
      <c r="G32" s="1"/>
      <c r="H32" s="1"/>
      <c r="I32" s="1"/>
      <c r="J32" s="19">
        <f>(D32*D$59)+(E32*E$59)+(F32*F$59)+(G32*G$59)+(H32*H$59)+(I32*I$59)</f>
        <v>150</v>
      </c>
      <c r="K32" s="15">
        <f t="shared" si="0"/>
        <v>50</v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50</v>
      </c>
      <c r="T32" s="14">
        <f>R32+J32</f>
        <v>200</v>
      </c>
      <c r="V32" s="28">
        <v>4</v>
      </c>
      <c r="W32" s="29">
        <v>45774</v>
      </c>
      <c r="X32" s="45">
        <v>-795</v>
      </c>
      <c r="Y32" s="45">
        <v>1970</v>
      </c>
      <c r="Z32" s="45">
        <v>-955</v>
      </c>
      <c r="AA32" s="45">
        <v>-220</v>
      </c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266</v>
      </c>
      <c r="D33" s="9">
        <v>4</v>
      </c>
      <c r="E33" s="10"/>
      <c r="F33" s="10"/>
      <c r="G33" s="10"/>
      <c r="H33" s="10"/>
      <c r="I33" s="10"/>
      <c r="J33" s="11">
        <f>(D33*D$59)+(E33*E$59)+(F33*F$59)+(G33*G$59)+(H33*H$59)+(I33*I$59)</f>
        <v>20</v>
      </c>
      <c r="K33" s="12" t="str">
        <f t="shared" si="0"/>
        <v/>
      </c>
      <c r="L33" s="12" t="str">
        <f t="shared" si="1"/>
        <v/>
      </c>
      <c r="M33" s="12" t="s">
        <v>258</v>
      </c>
      <c r="N33" s="12"/>
      <c r="O33" s="12"/>
      <c r="P33" s="10"/>
      <c r="Q33" s="10"/>
      <c r="R33" s="13">
        <f>SUM(K33:Q33)</f>
        <v>0</v>
      </c>
      <c r="T33" s="22">
        <f>(R33+J33)</f>
        <v>20</v>
      </c>
      <c r="V33" s="28">
        <v>5</v>
      </c>
      <c r="W33" s="29">
        <v>45775</v>
      </c>
      <c r="X33" s="28">
        <v>-1605</v>
      </c>
      <c r="Y33" s="28">
        <v>-670</v>
      </c>
      <c r="Z33" s="28">
        <v>-1050</v>
      </c>
      <c r="AA33" s="28">
        <v>3325</v>
      </c>
      <c r="AC33" s="28" t="s">
        <v>211</v>
      </c>
      <c r="AD33" s="28">
        <f>T34</f>
        <v>1480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63">
        <f>SUM(T29:T33)</f>
        <v>1480</v>
      </c>
      <c r="V34" s="28">
        <v>6</v>
      </c>
      <c r="W34" s="29">
        <v>45776</v>
      </c>
      <c r="X34" s="28">
        <v>-590</v>
      </c>
      <c r="Y34" s="28">
        <v>-770</v>
      </c>
      <c r="Z34" s="28">
        <v>-385</v>
      </c>
      <c r="AA34" s="28">
        <v>1745</v>
      </c>
      <c r="AC34" s="28" t="s">
        <v>96</v>
      </c>
      <c r="AD34" s="28">
        <f>T40</f>
        <v>930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64" t="s">
        <v>180</v>
      </c>
      <c r="D35" s="23">
        <v>13</v>
      </c>
      <c r="E35" s="6"/>
      <c r="F35" s="6"/>
      <c r="G35" s="6"/>
      <c r="H35" s="6">
        <v>1</v>
      </c>
      <c r="I35" s="6"/>
      <c r="J35" s="7">
        <f>(D35*D$59)+(E35*E$59)+(F35*F$59)+(G35*G$59)+(H35*H$59)+(I35*I$59)</f>
        <v>115</v>
      </c>
      <c r="K35" s="23" t="str">
        <f t="shared" ref="K35:K39" si="2">IF(D35&gt;=100, 250, IF(D35&gt;=50, 150, IF(D35&gt;=30, 50, "")))</f>
        <v/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0</v>
      </c>
      <c r="T35" s="33">
        <f>(R35+J35)*2</f>
        <v>230</v>
      </c>
      <c r="V35" s="28">
        <v>7</v>
      </c>
      <c r="W35" s="29">
        <v>45777</v>
      </c>
      <c r="X35" s="28">
        <v>-1425</v>
      </c>
      <c r="Y35" s="28">
        <v>-1465</v>
      </c>
      <c r="Z35" s="28">
        <v>4080</v>
      </c>
      <c r="AA35" s="28">
        <v>-1190</v>
      </c>
      <c r="AC35" s="28" t="s">
        <v>97</v>
      </c>
      <c r="AD35" s="28">
        <f>T46</f>
        <v>400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57</v>
      </c>
      <c r="D36" s="20">
        <v>53</v>
      </c>
      <c r="E36" s="1"/>
      <c r="F36" s="1"/>
      <c r="G36" s="1"/>
      <c r="H36" s="1">
        <v>1</v>
      </c>
      <c r="I36" s="1"/>
      <c r="J36" s="19">
        <f>(D36*D$59)+(E36*E$59)+(F36*F$59)+(G36*G$59)+(H36*H$59)+(I36*I$59)</f>
        <v>315</v>
      </c>
      <c r="K36" s="15">
        <f t="shared" si="2"/>
        <v>150</v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150</v>
      </c>
      <c r="T36" s="14">
        <f>R36+J36</f>
        <v>465</v>
      </c>
      <c r="V36" s="28">
        <v>8</v>
      </c>
      <c r="W36" s="29">
        <v>45778</v>
      </c>
      <c r="X36" s="28">
        <f>-(Y36+Z36+AA36)</f>
        <v>1745</v>
      </c>
      <c r="Y36" s="28">
        <f>T40-T34</f>
        <v>-550</v>
      </c>
      <c r="Z36" s="28">
        <f>T46-T34</f>
        <v>-1080</v>
      </c>
      <c r="AA36" s="28">
        <f>T52-T34</f>
        <v>-115</v>
      </c>
      <c r="AC36" s="28" t="s">
        <v>285</v>
      </c>
      <c r="AD36" s="28">
        <f>T52</f>
        <v>1365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61</v>
      </c>
      <c r="D37" s="20">
        <v>16</v>
      </c>
      <c r="E37" s="1">
        <v>1</v>
      </c>
      <c r="F37" s="1"/>
      <c r="G37" s="1"/>
      <c r="H37" s="1"/>
      <c r="I37" s="1"/>
      <c r="J37" s="19">
        <f>(D37*D$59)+(E37*E$59)+(F37*F$59)+(G37*G$59)+(H37*H$59)+(I37*I$59)</f>
        <v>180</v>
      </c>
      <c r="K37" s="15" t="str">
        <f t="shared" si="2"/>
        <v/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0</v>
      </c>
      <c r="T37" s="14">
        <f>R37+J37</f>
        <v>180</v>
      </c>
      <c r="V37" s="28"/>
      <c r="W37" s="29"/>
      <c r="X37" s="28"/>
      <c r="Y37" s="28"/>
      <c r="Z37" s="28"/>
      <c r="AA37" s="28"/>
      <c r="AF37" s="49" t="s">
        <v>284</v>
      </c>
      <c r="AG37" s="49">
        <v>7915</v>
      </c>
      <c r="AH37" s="49">
        <v>-8325</v>
      </c>
      <c r="AI37" s="49">
        <v>-2815</v>
      </c>
      <c r="AJ37" s="49">
        <v>3225</v>
      </c>
    </row>
    <row r="38" spans="2:36" x14ac:dyDescent="0.3">
      <c r="B38" s="67"/>
      <c r="C38" s="19" t="s">
        <v>109</v>
      </c>
      <c r="D38" s="20">
        <v>11</v>
      </c>
      <c r="E38" s="1"/>
      <c r="F38" s="1"/>
      <c r="G38" s="1"/>
      <c r="H38" s="1"/>
      <c r="I38" s="1"/>
      <c r="J38" s="19">
        <f>(D38*D$59)+(E38*E$59)+(F38*F$59)+(G38*G$59)+(H38*H$59)+(I38*I$59)</f>
        <v>55</v>
      </c>
      <c r="K38" s="15" t="str">
        <f t="shared" si="2"/>
        <v/>
      </c>
      <c r="L38" s="20" t="str">
        <f t="shared" si="3"/>
        <v/>
      </c>
      <c r="M38" s="20"/>
      <c r="N38" s="20"/>
      <c r="O38" s="20"/>
      <c r="P38" s="1"/>
      <c r="Q38" s="1"/>
      <c r="R38" s="17">
        <f>SUM(K38:Q38)</f>
        <v>0</v>
      </c>
      <c r="T38" s="14">
        <f>R38+J38</f>
        <v>55</v>
      </c>
      <c r="V38" s="28"/>
      <c r="W38" s="29"/>
      <c r="X38" s="28"/>
      <c r="Y38" s="28"/>
      <c r="Z38" s="28"/>
      <c r="AA38" s="28"/>
      <c r="AF38" s="49" t="s">
        <v>308</v>
      </c>
      <c r="AG38" s="49">
        <f>X28</f>
        <v>-3625</v>
      </c>
      <c r="AH38" s="49">
        <f>Y28</f>
        <v>1665</v>
      </c>
      <c r="AI38" s="49">
        <f>Z28</f>
        <v>-2055</v>
      </c>
      <c r="AJ38" s="49">
        <f>AA28</f>
        <v>4015</v>
      </c>
    </row>
    <row r="39" spans="2:36" ht="15" thickBot="1" x14ac:dyDescent="0.35">
      <c r="B39" s="68"/>
      <c r="C39" s="11" t="s">
        <v>318</v>
      </c>
      <c r="D39" s="12"/>
      <c r="E39" s="10"/>
      <c r="F39" s="10"/>
      <c r="G39" s="10"/>
      <c r="H39" s="10"/>
      <c r="I39" s="10"/>
      <c r="J39" s="11">
        <f>(D39*D$59)+(E39*E$59)+(F39*F$59)+(G39*G$59)+(H39*H$59)+(I39*I$59)</f>
        <v>0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0</v>
      </c>
      <c r="V39" s="28"/>
      <c r="W39" s="29"/>
      <c r="X39" s="28"/>
      <c r="Y39" s="28"/>
      <c r="Z39" s="28"/>
      <c r="AA39" s="28"/>
      <c r="AF39" s="49" t="s">
        <v>0</v>
      </c>
      <c r="AG39" s="49">
        <f>SUM(AG33:AG38)</f>
        <v>10005</v>
      </c>
      <c r="AH39" s="49">
        <f t="shared" ref="AH39:AJ39" si="4">SUM(AH33:AH38)</f>
        <v>-1585</v>
      </c>
      <c r="AI39" s="49">
        <f t="shared" si="4"/>
        <v>1270</v>
      </c>
      <c r="AJ39" s="49">
        <f t="shared" si="4"/>
        <v>-9690</v>
      </c>
    </row>
    <row r="40" spans="2:36" ht="15" thickBot="1" x14ac:dyDescent="0.35">
      <c r="K40" s="2" t="s">
        <v>258</v>
      </c>
      <c r="L40" s="2" t="s">
        <v>258</v>
      </c>
      <c r="T40" s="63">
        <f>SUM(T35:T39)</f>
        <v>930</v>
      </c>
      <c r="V40" s="28"/>
      <c r="W40" s="29"/>
      <c r="X40" s="28"/>
      <c r="Y40" s="28"/>
      <c r="Z40" s="28"/>
      <c r="AA40" s="28"/>
    </row>
    <row r="41" spans="2:36" x14ac:dyDescent="0.3">
      <c r="B41" s="66" t="s">
        <v>97</v>
      </c>
      <c r="C41" s="64" t="s">
        <v>333</v>
      </c>
      <c r="D41" s="23">
        <v>0</v>
      </c>
      <c r="E41" s="6"/>
      <c r="F41" s="6"/>
      <c r="G41" s="6"/>
      <c r="H41" s="6"/>
      <c r="I41" s="6">
        <v>1</v>
      </c>
      <c r="J41" s="7">
        <f>(D41*D$59)+(E41*E$59)+(F41*F$59)+(G41*G$59)+(H41*H$59)+(I41*I$59)</f>
        <v>-50</v>
      </c>
      <c r="K41" s="23" t="str">
        <f t="shared" ref="K41:K45" si="5">IF(D41&gt;=100, 250, IF(D41&gt;=50, 150, IF(D41&gt;=30, 50, "")))</f>
        <v/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0</v>
      </c>
      <c r="T41" s="33">
        <f>(R41+J41)*2</f>
        <v>-100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55</v>
      </c>
      <c r="D42" s="20"/>
      <c r="E42" s="1"/>
      <c r="F42" s="1"/>
      <c r="G42" s="1"/>
      <c r="H42" s="1">
        <v>1</v>
      </c>
      <c r="I42" s="1"/>
      <c r="J42" s="19">
        <f>(D42*D$59)+(E42*E$59)+(F42*F$59)+(G42*G$59)+(H42*H$59)+(I42*I$59)</f>
        <v>50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50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51</v>
      </c>
      <c r="D43" s="20"/>
      <c r="E43" s="1">
        <v>3</v>
      </c>
      <c r="F43" s="1"/>
      <c r="G43" s="1"/>
      <c r="H43" s="1">
        <v>1</v>
      </c>
      <c r="I43" s="1"/>
      <c r="J43" s="19">
        <f>(D43*D$59)+(E43*E$59)+(F43*F$59)+(G43*G$59)+(H43*H$59)+(I43*I$59)</f>
        <v>350</v>
      </c>
      <c r="K43" s="15" t="str">
        <f t="shared" si="5"/>
        <v/>
      </c>
      <c r="L43" s="20">
        <f t="shared" si="6"/>
        <v>150</v>
      </c>
      <c r="M43" s="20"/>
      <c r="N43" s="20"/>
      <c r="O43" s="20"/>
      <c r="P43" s="1"/>
      <c r="Q43" s="1"/>
      <c r="R43" s="17">
        <f>SUM(K43:Q43)</f>
        <v>150</v>
      </c>
      <c r="T43" s="14">
        <f>R43+J43</f>
        <v>500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173</v>
      </c>
      <c r="D44" s="20"/>
      <c r="E44" s="1"/>
      <c r="F44" s="1"/>
      <c r="G44" s="1"/>
      <c r="H44" s="1"/>
      <c r="I44" s="1"/>
      <c r="J44" s="19">
        <f>(D44*D$59)+(E44*E$59)+(F44*F$59)+(G44*G$59)+(H44*H$59)+(I44*I$59)</f>
        <v>0</v>
      </c>
      <c r="K44" s="15" t="str">
        <f t="shared" si="5"/>
        <v/>
      </c>
      <c r="L44" s="20" t="str">
        <f t="shared" si="6"/>
        <v/>
      </c>
      <c r="M44" s="20"/>
      <c r="N44" s="20"/>
      <c r="O44" s="20"/>
      <c r="P44" s="1"/>
      <c r="Q44" s="1"/>
      <c r="R44" s="17">
        <f>SUM(K44:Q44)</f>
        <v>0</v>
      </c>
      <c r="T44" s="14">
        <f>R44+J44</f>
        <v>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334</v>
      </c>
      <c r="D45" s="12">
        <v>0</v>
      </c>
      <c r="E45" s="10"/>
      <c r="F45" s="10"/>
      <c r="G45" s="10"/>
      <c r="H45" s="10"/>
      <c r="I45" s="10">
        <v>1</v>
      </c>
      <c r="J45" s="11">
        <f>(D45*D$59)+(E45*E$59)+(F45*F$59)+(G45*G$59)+(H45*H$59)+(I45*I$59)</f>
        <v>-50</v>
      </c>
      <c r="K45" s="12" t="str">
        <f t="shared" si="5"/>
        <v/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0</v>
      </c>
      <c r="T45" s="34">
        <f>R45+J45</f>
        <v>-50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63">
        <f>SUM(T41:T45)</f>
        <v>400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64" t="s">
        <v>70</v>
      </c>
      <c r="D47" s="23">
        <v>48</v>
      </c>
      <c r="E47" s="6"/>
      <c r="F47" s="6"/>
      <c r="G47" s="6"/>
      <c r="H47" s="6">
        <v>2</v>
      </c>
      <c r="I47" s="6"/>
      <c r="J47" s="7">
        <f>(D47*D$59)+(E47*E$59)+(F47*F$59)+(G47*G$59)+(H47*H$59)+(I47*I$59)</f>
        <v>340</v>
      </c>
      <c r="K47" s="23">
        <f t="shared" ref="K47:K51" si="7">IF(D47&gt;=100, 250, IF(D47&gt;=50, 150, IF(D47&gt;=30, 50, "")))</f>
        <v>50</v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50</v>
      </c>
      <c r="T47" s="33">
        <f>(R47+J47)*2</f>
        <v>780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166</v>
      </c>
      <c r="D48" s="20">
        <v>48</v>
      </c>
      <c r="E48" s="1">
        <v>1</v>
      </c>
      <c r="F48" s="1"/>
      <c r="G48" s="1"/>
      <c r="H48" s="1"/>
      <c r="I48" s="1"/>
      <c r="J48" s="19">
        <f>(D48*D$59)+(E48*E$59)+(F48*F$59)+(G48*G$59)+(H48*H$59)+(I48*I$59)</f>
        <v>340</v>
      </c>
      <c r="K48" s="15">
        <f t="shared" si="7"/>
        <v>50</v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50</v>
      </c>
      <c r="T48" s="14">
        <f>R48+J48</f>
        <v>390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78</v>
      </c>
      <c r="D49" s="20">
        <v>9</v>
      </c>
      <c r="E49" s="1"/>
      <c r="F49" s="1"/>
      <c r="G49" s="1"/>
      <c r="H49" s="1"/>
      <c r="I49" s="1"/>
      <c r="J49" s="19">
        <f>(D49*D$59)+(E49*E$59)+(F49*F$59)+(G49*G$59)+(H49*H$59)+(I49*I$59)</f>
        <v>45</v>
      </c>
      <c r="K49" s="15" t="str">
        <f t="shared" si="7"/>
        <v/>
      </c>
      <c r="L49" s="20" t="str">
        <f t="shared" si="8"/>
        <v/>
      </c>
      <c r="M49" s="20" t="s">
        <v>258</v>
      </c>
      <c r="N49" s="20"/>
      <c r="O49" s="20"/>
      <c r="P49" s="1"/>
      <c r="Q49" s="1"/>
      <c r="R49" s="17">
        <f>SUM(K49:Q49)</f>
        <v>0</v>
      </c>
      <c r="T49" s="14">
        <f>R49+J49</f>
        <v>45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23</v>
      </c>
      <c r="D50" s="20"/>
      <c r="E50" s="1">
        <v>1</v>
      </c>
      <c r="F50" s="1"/>
      <c r="G50" s="1"/>
      <c r="H50" s="1">
        <v>1</v>
      </c>
      <c r="I50" s="1"/>
      <c r="J50" s="19">
        <f>(D50*D$59)+(E50*E$59)+(F50*F$59)+(G50*G$59)+(H50*H$59)+(I50*I$59)</f>
        <v>150</v>
      </c>
      <c r="K50" s="15" t="str">
        <f t="shared" si="7"/>
        <v/>
      </c>
      <c r="L50" s="20" t="str">
        <f t="shared" si="8"/>
        <v/>
      </c>
      <c r="M50" s="20" t="s">
        <v>258</v>
      </c>
      <c r="N50" s="20"/>
      <c r="O50" s="20"/>
      <c r="P50" s="1"/>
      <c r="Q50" s="1"/>
      <c r="R50" s="17">
        <f>SUM(K50:Q50)</f>
        <v>0</v>
      </c>
      <c r="T50" s="14">
        <f>R50+J50</f>
        <v>150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309</v>
      </c>
      <c r="D51" s="12"/>
      <c r="E51" s="10"/>
      <c r="F51" s="10"/>
      <c r="G51" s="10"/>
      <c r="H51" s="10"/>
      <c r="I51" s="10"/>
      <c r="J51" s="11">
        <f>(D51*D$59)+(E51*E$59)+(F51*F$59)+(G51*G$59)+(H51*H$59)+(I51*I$59)</f>
        <v>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0</v>
      </c>
      <c r="V51" s="28"/>
      <c r="W51" s="29"/>
      <c r="X51" s="28"/>
      <c r="Y51" s="28"/>
      <c r="Z51" s="28"/>
      <c r="AA51" s="28"/>
    </row>
    <row r="52" spans="2:30" ht="15" thickBot="1" x14ac:dyDescent="0.35">
      <c r="T52" s="63">
        <f>SUM(T47:T51)</f>
        <v>1365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-1750</v>
      </c>
      <c r="Y60" s="42">
        <f>SUM(Y61:Y68)</f>
        <v>5120</v>
      </c>
      <c r="Z60" s="42">
        <f>SUM(Z61:Z68)</f>
        <v>-3620</v>
      </c>
      <c r="AA60" s="42">
        <f>SUM(AA61:AA68)</f>
        <v>250</v>
      </c>
    </row>
    <row r="61" spans="2:30" x14ac:dyDescent="0.3">
      <c r="B61" s="66" t="s">
        <v>211</v>
      </c>
      <c r="C61" s="38" t="s">
        <v>20</v>
      </c>
      <c r="D61" s="5">
        <v>22</v>
      </c>
      <c r="E61" s="6"/>
      <c r="F61" s="6"/>
      <c r="G61" s="6"/>
      <c r="H61" s="6"/>
      <c r="I61" s="6"/>
      <c r="J61" s="7">
        <f>(D61*D$59)+(E61*E$59)+(F61*F$59)+(G61*G$59)+(H61*H$59)+(I61*I$59)</f>
        <v>110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220</v>
      </c>
      <c r="V61" s="28">
        <v>1</v>
      </c>
      <c r="W61" s="29" t="s">
        <v>312</v>
      </c>
      <c r="X61" s="28">
        <v>-1750</v>
      </c>
      <c r="Y61" s="28">
        <v>4045</v>
      </c>
      <c r="Z61" s="28">
        <v>-1280</v>
      </c>
      <c r="AA61" s="28">
        <v>-1015</v>
      </c>
    </row>
    <row r="62" spans="2:30" x14ac:dyDescent="0.3">
      <c r="B62" s="67"/>
      <c r="C62" s="4" t="s">
        <v>320</v>
      </c>
      <c r="D62" s="18">
        <v>12</v>
      </c>
      <c r="E62" s="1"/>
      <c r="F62" s="1"/>
      <c r="G62" s="1"/>
      <c r="H62" s="1">
        <v>1</v>
      </c>
      <c r="I62" s="1"/>
      <c r="J62" s="19">
        <f t="shared" ref="J62:J65" si="9">(D62*D$59)+(E62*E$59)+(F62*F$59)+(G62*G$59)+(H62*H$59)+(I62*I$59)</f>
        <v>110</v>
      </c>
      <c r="K62" s="15" t="str">
        <f t="shared" ref="K62:K65" si="10">IF(D62&gt;=100, 250, IF(D62&gt;=50, 150, IF(D62&gt;=30, 50, "")))</f>
        <v/>
      </c>
      <c r="L62" s="20" t="str">
        <f t="shared" ref="L62:L65" si="11">IF(E62=5, 200, IF(E62=3, 150, IF(E62=2, 50, "")))</f>
        <v/>
      </c>
      <c r="M62" s="20" t="s">
        <v>258</v>
      </c>
      <c r="N62" s="20"/>
      <c r="O62" s="20"/>
      <c r="P62" s="1"/>
      <c r="Q62" s="1"/>
      <c r="R62" s="17">
        <f>SUM(K62:Q62)</f>
        <v>0</v>
      </c>
      <c r="T62" s="14">
        <f>R62+J62</f>
        <v>110</v>
      </c>
      <c r="V62" s="28">
        <v>2</v>
      </c>
      <c r="W62" s="29">
        <v>45772</v>
      </c>
      <c r="X62" s="45">
        <v>1755</v>
      </c>
      <c r="Y62" s="45">
        <v>-350</v>
      </c>
      <c r="Z62" s="45">
        <v>-970</v>
      </c>
      <c r="AA62" s="45">
        <v>-435</v>
      </c>
    </row>
    <row r="63" spans="2:30" x14ac:dyDescent="0.3">
      <c r="B63" s="67"/>
      <c r="C63" s="4" t="s">
        <v>321</v>
      </c>
      <c r="D63" s="18"/>
      <c r="E63" s="1">
        <v>2</v>
      </c>
      <c r="F63" s="1"/>
      <c r="G63" s="1"/>
      <c r="H63" s="1">
        <v>1</v>
      </c>
      <c r="I63" s="1"/>
      <c r="J63" s="19">
        <f t="shared" si="9"/>
        <v>250</v>
      </c>
      <c r="K63" s="15" t="str">
        <f t="shared" si="10"/>
        <v/>
      </c>
      <c r="L63" s="20">
        <f t="shared" si="11"/>
        <v>50</v>
      </c>
      <c r="M63" s="20" t="s">
        <v>258</v>
      </c>
      <c r="N63" s="20"/>
      <c r="O63" s="20"/>
      <c r="P63" s="1"/>
      <c r="Q63" s="1"/>
      <c r="R63" s="17">
        <f>SUM(K63:Q63)</f>
        <v>50</v>
      </c>
      <c r="T63" s="14">
        <f>R63+J63</f>
        <v>300</v>
      </c>
      <c r="V63" s="28">
        <v>3</v>
      </c>
      <c r="W63" s="29">
        <v>45774</v>
      </c>
      <c r="X63" s="45">
        <v>-960</v>
      </c>
      <c r="Y63" s="45">
        <v>-545</v>
      </c>
      <c r="Z63" s="45">
        <v>-415</v>
      </c>
      <c r="AA63" s="45">
        <v>1920</v>
      </c>
      <c r="AC63" s="50" t="s">
        <v>5</v>
      </c>
      <c r="AD63" s="50" t="s">
        <v>235</v>
      </c>
    </row>
    <row r="64" spans="2:30" x14ac:dyDescent="0.3">
      <c r="B64" s="67"/>
      <c r="C64" s="4" t="s">
        <v>322</v>
      </c>
      <c r="D64" s="18"/>
      <c r="E64" s="1"/>
      <c r="F64" s="1"/>
      <c r="G64" s="1"/>
      <c r="H64" s="1"/>
      <c r="I64" s="1"/>
      <c r="J64" s="19">
        <f t="shared" si="9"/>
        <v>0</v>
      </c>
      <c r="K64" s="15" t="str">
        <f t="shared" si="10"/>
        <v/>
      </c>
      <c r="L64" s="20" t="str">
        <f t="shared" si="11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0</v>
      </c>
      <c r="V64" s="28">
        <v>4</v>
      </c>
      <c r="W64" s="29">
        <v>45774</v>
      </c>
      <c r="X64" s="45">
        <f>T66-T72</f>
        <v>-795</v>
      </c>
      <c r="Y64" s="45">
        <f>-(X64+Z64+AA64)</f>
        <v>1970</v>
      </c>
      <c r="Z64" s="45">
        <f>T78-T72</f>
        <v>-955</v>
      </c>
      <c r="AA64" s="45">
        <f>T84-T72</f>
        <v>-220</v>
      </c>
      <c r="AC64" s="28" t="s">
        <v>211</v>
      </c>
      <c r="AD64" s="28">
        <f>T66</f>
        <v>730</v>
      </c>
    </row>
    <row r="65" spans="2:30" ht="15" thickBot="1" x14ac:dyDescent="0.35">
      <c r="B65" s="68"/>
      <c r="C65" s="21" t="s">
        <v>304</v>
      </c>
      <c r="D65" s="9"/>
      <c r="E65" s="10">
        <v>1</v>
      </c>
      <c r="F65" s="10"/>
      <c r="G65" s="10"/>
      <c r="H65" s="10"/>
      <c r="I65" s="10"/>
      <c r="J65" s="11">
        <f t="shared" si="9"/>
        <v>100</v>
      </c>
      <c r="K65" s="12" t="str">
        <f t="shared" si="10"/>
        <v/>
      </c>
      <c r="L65" s="12" t="str">
        <f t="shared" si="11"/>
        <v/>
      </c>
      <c r="M65" s="12" t="s">
        <v>258</v>
      </c>
      <c r="N65" s="12"/>
      <c r="O65" s="12"/>
      <c r="P65" s="10"/>
      <c r="Q65" s="10"/>
      <c r="R65" s="13">
        <f>SUM(K65:Q65)</f>
        <v>0</v>
      </c>
      <c r="T65" s="22">
        <f>(R65+J65)</f>
        <v>100</v>
      </c>
      <c r="V65" s="28">
        <v>5</v>
      </c>
      <c r="W65" s="29"/>
      <c r="X65" s="28"/>
      <c r="Y65" s="28"/>
      <c r="Z65" s="28"/>
      <c r="AA65" s="28"/>
      <c r="AC65" s="28" t="s">
        <v>96</v>
      </c>
      <c r="AD65" s="28">
        <f>T72</f>
        <v>1525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730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570</v>
      </c>
    </row>
    <row r="67" spans="2:30" x14ac:dyDescent="0.3">
      <c r="B67" s="66" t="s">
        <v>96</v>
      </c>
      <c r="C67" s="39" t="s">
        <v>19</v>
      </c>
      <c r="D67" s="23">
        <v>51</v>
      </c>
      <c r="E67" s="6"/>
      <c r="F67" s="6">
        <v>1</v>
      </c>
      <c r="G67" s="6"/>
      <c r="H67" s="6">
        <v>1</v>
      </c>
      <c r="I67" s="6"/>
      <c r="J67" s="7">
        <f>(D67*D$59)+(E67*E$59)+(F67*F$59)+(G67*G$59)+(H67*H$59)+(I67*I$59)</f>
        <v>355</v>
      </c>
      <c r="K67" s="23">
        <f t="shared" ref="K67:K71" si="12">IF(D67&gt;=100, 250, IF(D67&gt;=50, 150, IF(D67&gt;=30, 50, "")))</f>
        <v>150</v>
      </c>
      <c r="L67" s="23" t="str">
        <f t="shared" ref="L67:L71" si="13">IF(E67=5, 200, IF(E67=3, 150, IF(E67=2, 50, "")))</f>
        <v/>
      </c>
      <c r="M67" s="23"/>
      <c r="N67" s="23"/>
      <c r="O67" s="23"/>
      <c r="P67" s="6"/>
      <c r="Q67" s="6"/>
      <c r="R67" s="24">
        <f>SUM(K67:Q67)</f>
        <v>150</v>
      </c>
      <c r="T67" s="33">
        <f>(R67+J67)*2</f>
        <v>1010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1305</v>
      </c>
    </row>
    <row r="68" spans="2:30" x14ac:dyDescent="0.3">
      <c r="B68" s="67"/>
      <c r="C68" s="19" t="s">
        <v>71</v>
      </c>
      <c r="D68" s="20">
        <v>28</v>
      </c>
      <c r="E68" s="1"/>
      <c r="F68" s="1"/>
      <c r="G68" s="1"/>
      <c r="H68" s="1"/>
      <c r="I68" s="1"/>
      <c r="J68" s="19">
        <f t="shared" ref="J68:J71" si="14">(D68*D$59)+(E68*E$59)+(F68*F$59)+(G68*G$59)+(H68*H$59)+(I68*I$59)</f>
        <v>140</v>
      </c>
      <c r="K68" s="15" t="str">
        <f t="shared" si="12"/>
        <v/>
      </c>
      <c r="L68" s="20" t="str">
        <f t="shared" si="13"/>
        <v/>
      </c>
      <c r="M68" s="20"/>
      <c r="N68" s="20"/>
      <c r="O68" s="20"/>
      <c r="P68" s="1"/>
      <c r="Q68" s="1"/>
      <c r="R68" s="17">
        <f>SUM(K68:Q68)</f>
        <v>0</v>
      </c>
      <c r="T68" s="14">
        <f>R68+J68</f>
        <v>140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44</v>
      </c>
      <c r="D69" s="20">
        <v>15</v>
      </c>
      <c r="E69" s="1">
        <v>2</v>
      </c>
      <c r="F69" s="1"/>
      <c r="G69" s="1"/>
      <c r="H69" s="1"/>
      <c r="I69" s="1"/>
      <c r="J69" s="19">
        <f t="shared" si="14"/>
        <v>275</v>
      </c>
      <c r="K69" s="15" t="str">
        <f t="shared" si="12"/>
        <v/>
      </c>
      <c r="L69" s="20">
        <f t="shared" si="13"/>
        <v>50</v>
      </c>
      <c r="M69" s="20"/>
      <c r="N69" s="20"/>
      <c r="O69" s="20"/>
      <c r="P69" s="1"/>
      <c r="Q69" s="1"/>
      <c r="R69" s="17">
        <f>SUM(K69:Q69)</f>
        <v>50</v>
      </c>
      <c r="T69" s="14">
        <f>R69+J69</f>
        <v>325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65</v>
      </c>
      <c r="D70" s="20"/>
      <c r="E70" s="1"/>
      <c r="F70" s="1"/>
      <c r="G70" s="1"/>
      <c r="H70" s="1">
        <v>1</v>
      </c>
      <c r="I70" s="1"/>
      <c r="J70" s="19">
        <f t="shared" si="14"/>
        <v>50</v>
      </c>
      <c r="K70" s="15" t="str">
        <f t="shared" si="12"/>
        <v/>
      </c>
      <c r="L70" s="20" t="str">
        <f t="shared" si="13"/>
        <v/>
      </c>
      <c r="M70" s="20"/>
      <c r="N70" s="20"/>
      <c r="O70" s="20"/>
      <c r="P70" s="1"/>
      <c r="Q70" s="1"/>
      <c r="R70" s="17">
        <f>SUM(K70:Q70)</f>
        <v>0</v>
      </c>
      <c r="T70" s="14">
        <f>R70+J70</f>
        <v>50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62</v>
      </c>
      <c r="D71" s="12"/>
      <c r="E71" s="10"/>
      <c r="F71" s="10"/>
      <c r="G71" s="10"/>
      <c r="H71" s="10"/>
      <c r="I71" s="10"/>
      <c r="J71" s="11">
        <f t="shared" si="14"/>
        <v>0</v>
      </c>
      <c r="K71" s="12" t="str">
        <f t="shared" si="12"/>
        <v/>
      </c>
      <c r="L71" s="12" t="str">
        <f t="shared" si="13"/>
        <v/>
      </c>
      <c r="M71" s="12"/>
      <c r="N71" s="12"/>
      <c r="O71" s="12"/>
      <c r="P71" s="10"/>
      <c r="Q71" s="10"/>
      <c r="R71" s="13">
        <f>SUM(K71:Q71)</f>
        <v>0</v>
      </c>
      <c r="T71" s="34">
        <f>R71+J71</f>
        <v>0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1525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323</v>
      </c>
      <c r="D73" s="23">
        <v>4</v>
      </c>
      <c r="E73" s="6"/>
      <c r="F73" s="6">
        <v>2</v>
      </c>
      <c r="G73" s="6"/>
      <c r="H73" s="6">
        <v>1</v>
      </c>
      <c r="I73" s="6"/>
      <c r="J73" s="7">
        <f>(D73*D$59)+(E73*E$59)+(F73*F$59)+(G73*G$59)+(H73*H$59)+(I73*I$59)</f>
        <v>170</v>
      </c>
      <c r="K73" s="23" t="str">
        <f t="shared" ref="K73:K77" si="15">IF(D73&gt;=100, 250, IF(D73&gt;=50, 150, IF(D73&gt;=30, 50, "")))</f>
        <v/>
      </c>
      <c r="L73" s="23" t="str">
        <f t="shared" ref="L73:L77" si="16">IF(E73=5, 200, IF(E73=3, 150, IF(E73=2, 50, "")))</f>
        <v/>
      </c>
      <c r="M73" s="23"/>
      <c r="N73" s="23"/>
      <c r="O73" s="23"/>
      <c r="P73" s="6"/>
      <c r="Q73" s="6"/>
      <c r="R73" s="24">
        <f>SUM(K73:Q73)</f>
        <v>0</v>
      </c>
      <c r="T73" s="33">
        <f>(R73+J73)*2</f>
        <v>340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324</v>
      </c>
      <c r="D74" s="20">
        <v>0</v>
      </c>
      <c r="E74" s="1"/>
      <c r="F74" s="1"/>
      <c r="G74" s="1"/>
      <c r="H74" s="1"/>
      <c r="I74" s="1">
        <v>1</v>
      </c>
      <c r="J74" s="19">
        <f t="shared" ref="J74:J77" si="17">(D74*D$59)+(E74*E$59)+(F74*F$59)+(G74*G$59)+(H74*H$59)+(I74*I$59)</f>
        <v>-50</v>
      </c>
      <c r="K74" s="15" t="str">
        <f t="shared" si="15"/>
        <v/>
      </c>
      <c r="L74" s="20" t="str">
        <f t="shared" si="16"/>
        <v/>
      </c>
      <c r="M74" s="20"/>
      <c r="N74" s="20"/>
      <c r="O74" s="20"/>
      <c r="P74" s="1"/>
      <c r="Q74" s="1"/>
      <c r="R74" s="17">
        <f>SUM(K74:Q74)</f>
        <v>0</v>
      </c>
      <c r="T74" s="14">
        <f>R74+J74</f>
        <v>-50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45</v>
      </c>
      <c r="D75" s="20">
        <v>34</v>
      </c>
      <c r="E75" s="1"/>
      <c r="F75" s="1"/>
      <c r="G75" s="1"/>
      <c r="H75" s="1"/>
      <c r="I75" s="1"/>
      <c r="J75" s="19">
        <f t="shared" si="17"/>
        <v>170</v>
      </c>
      <c r="K75" s="15">
        <f t="shared" si="15"/>
        <v>50</v>
      </c>
      <c r="L75" s="20" t="str">
        <f t="shared" si="16"/>
        <v/>
      </c>
      <c r="M75" s="20"/>
      <c r="N75" s="20"/>
      <c r="O75" s="20"/>
      <c r="P75" s="1"/>
      <c r="Q75" s="1"/>
      <c r="R75" s="17">
        <f>SUM(K75:Q75)</f>
        <v>50</v>
      </c>
      <c r="T75" s="14">
        <f>R75+J75</f>
        <v>220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175</v>
      </c>
      <c r="D76" s="20">
        <v>12</v>
      </c>
      <c r="E76" s="1"/>
      <c r="F76" s="1"/>
      <c r="G76" s="1"/>
      <c r="H76" s="1"/>
      <c r="I76" s="1"/>
      <c r="J76" s="19">
        <f t="shared" si="17"/>
        <v>60</v>
      </c>
      <c r="K76" s="15" t="str">
        <f t="shared" si="15"/>
        <v/>
      </c>
      <c r="L76" s="20" t="str">
        <f t="shared" si="16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60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294</v>
      </c>
      <c r="D77" s="12"/>
      <c r="E77" s="10"/>
      <c r="F77" s="10"/>
      <c r="G77" s="10"/>
      <c r="H77" s="10"/>
      <c r="I77" s="10"/>
      <c r="J77" s="11">
        <f t="shared" si="17"/>
        <v>0</v>
      </c>
      <c r="K77" s="12" t="str">
        <f t="shared" si="15"/>
        <v/>
      </c>
      <c r="L77" s="12" t="str">
        <f t="shared" si="16"/>
        <v/>
      </c>
      <c r="M77" s="12"/>
      <c r="N77" s="12"/>
      <c r="O77" s="12"/>
      <c r="P77" s="10"/>
      <c r="Q77" s="10"/>
      <c r="R77" s="13">
        <f>SUM(K77:Q77)</f>
        <v>0</v>
      </c>
      <c r="T77" s="34">
        <f>R77+J77</f>
        <v>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570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256</v>
      </c>
      <c r="D79" s="23">
        <v>41</v>
      </c>
      <c r="E79" s="6"/>
      <c r="F79" s="6"/>
      <c r="G79" s="6"/>
      <c r="H79" s="6"/>
      <c r="I79" s="6"/>
      <c r="J79" s="7">
        <f>(D79*D$59)+(E79*E$59)+(F79*F$59)+(G79*G$59)+(H79*H$59)+(I79*I$59)</f>
        <v>205</v>
      </c>
      <c r="K79" s="23">
        <f t="shared" ref="K79:K83" si="18">IF(D79&gt;=100, 250, IF(D79&gt;=50, 150, IF(D79&gt;=30, 50, "")))</f>
        <v>50</v>
      </c>
      <c r="L79" s="23" t="str">
        <f t="shared" ref="L79:L83" si="19">IF(E79=5, 200, IF(E79=3, 150, IF(E79=2, 50, "")))</f>
        <v/>
      </c>
      <c r="M79" s="23"/>
      <c r="N79" s="23"/>
      <c r="O79" s="23"/>
      <c r="P79" s="6"/>
      <c r="Q79" s="6"/>
      <c r="R79" s="24">
        <f>SUM(K79:Q79)</f>
        <v>50</v>
      </c>
      <c r="T79" s="33">
        <f>(R79+J79)*2</f>
        <v>510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35</v>
      </c>
      <c r="D80" s="20">
        <v>6</v>
      </c>
      <c r="E80" s="1"/>
      <c r="F80" s="1"/>
      <c r="G80" s="1"/>
      <c r="H80" s="1"/>
      <c r="I80" s="1"/>
      <c r="J80" s="19">
        <f t="shared" ref="J80:J83" si="20">(D80*D$59)+(E80*E$59)+(F80*F$59)+(G80*G$59)+(H80*H$59)+(I80*I$59)</f>
        <v>30</v>
      </c>
      <c r="K80" s="15" t="str">
        <f t="shared" si="18"/>
        <v/>
      </c>
      <c r="L80" s="20" t="str">
        <f t="shared" si="19"/>
        <v/>
      </c>
      <c r="M80" s="20"/>
      <c r="N80" s="20"/>
      <c r="O80" s="20"/>
      <c r="P80" s="1"/>
      <c r="Q80" s="1"/>
      <c r="R80" s="17">
        <f>SUM(K80:Q80)</f>
        <v>0</v>
      </c>
      <c r="T80" s="14">
        <f>R80+J80</f>
        <v>30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47</v>
      </c>
      <c r="D81" s="20"/>
      <c r="E81" s="1"/>
      <c r="F81" s="1"/>
      <c r="G81" s="1"/>
      <c r="H81" s="1">
        <v>1</v>
      </c>
      <c r="I81" s="1"/>
      <c r="J81" s="19">
        <f t="shared" si="20"/>
        <v>50</v>
      </c>
      <c r="K81" s="15" t="str">
        <f t="shared" si="18"/>
        <v/>
      </c>
      <c r="L81" s="20" t="str">
        <f t="shared" si="19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50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241</v>
      </c>
      <c r="D82" s="20">
        <v>73</v>
      </c>
      <c r="E82" s="1">
        <v>1</v>
      </c>
      <c r="F82" s="1"/>
      <c r="G82" s="1"/>
      <c r="H82" s="1"/>
      <c r="I82" s="1"/>
      <c r="J82" s="19">
        <f t="shared" si="20"/>
        <v>465</v>
      </c>
      <c r="K82" s="15">
        <f t="shared" si="18"/>
        <v>150</v>
      </c>
      <c r="L82" s="20" t="str">
        <f t="shared" si="19"/>
        <v/>
      </c>
      <c r="M82" s="20" t="s">
        <v>258</v>
      </c>
      <c r="N82" s="20"/>
      <c r="O82" s="20"/>
      <c r="P82" s="1"/>
      <c r="Q82" s="1"/>
      <c r="R82" s="17">
        <f>SUM(K82:Q82)</f>
        <v>150</v>
      </c>
      <c r="T82" s="14">
        <f>R82+J82</f>
        <v>615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200</v>
      </c>
      <c r="D83" s="12"/>
      <c r="E83" s="10">
        <v>1</v>
      </c>
      <c r="F83" s="10"/>
      <c r="G83" s="10"/>
      <c r="H83" s="10"/>
      <c r="I83" s="10"/>
      <c r="J83" s="11">
        <f t="shared" si="20"/>
        <v>100</v>
      </c>
      <c r="K83" s="12" t="str">
        <f t="shared" si="18"/>
        <v/>
      </c>
      <c r="L83" s="12" t="str">
        <f t="shared" si="19"/>
        <v/>
      </c>
      <c r="M83" s="12" t="s">
        <v>258</v>
      </c>
      <c r="N83" s="12"/>
      <c r="O83" s="12"/>
      <c r="P83" s="10"/>
      <c r="Q83" s="10"/>
      <c r="R83" s="13">
        <f>SUM(K83:Q83)</f>
        <v>0</v>
      </c>
      <c r="T83" s="34">
        <f>R83+J83</f>
        <v>100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1305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AJ84"/>
  <sheetViews>
    <sheetView tabSelected="1" zoomScale="90" zoomScaleNormal="90" workbookViewId="0">
      <selection activeCell="W31" sqref="W31"/>
    </sheetView>
  </sheetViews>
  <sheetFormatPr defaultColWidth="8.88671875" defaultRowHeight="14.4" x14ac:dyDescent="0.3"/>
  <cols>
    <col min="1" max="1" width="4.109375" style="3" customWidth="1"/>
    <col min="2" max="2" width="7.44140625" style="2" bestFit="1" customWidth="1"/>
    <col min="3" max="3" width="8.88671875" style="2" bestFit="1" customWidth="1"/>
    <col min="4" max="4" width="5.44140625" style="2" bestFit="1" customWidth="1"/>
    <col min="5" max="5" width="5.5546875" style="2" bestFit="1" customWidth="1"/>
    <col min="6" max="6" width="5.88671875" style="2" bestFit="1" customWidth="1"/>
    <col min="7" max="7" width="5.5546875" style="2" bestFit="1" customWidth="1"/>
    <col min="8" max="8" width="6" style="2" bestFit="1" customWidth="1"/>
    <col min="9" max="9" width="5.44140625" style="2" bestFit="1" customWidth="1"/>
    <col min="10" max="10" width="5.5546875" style="2" bestFit="1" customWidth="1"/>
    <col min="11" max="11" width="6.33203125" style="2" customWidth="1"/>
    <col min="12" max="14" width="5.5546875" style="2" bestFit="1" customWidth="1"/>
    <col min="15" max="15" width="6.33203125" style="2" bestFit="1" customWidth="1"/>
    <col min="16" max="16" width="5.33203125" style="2" bestFit="1" customWidth="1"/>
    <col min="17" max="17" width="5" style="2" bestFit="1" customWidth="1"/>
    <col min="18" max="18" width="5.5546875" style="3" bestFit="1" customWidth="1"/>
    <col min="19" max="19" width="2.88671875" style="3" customWidth="1"/>
    <col min="20" max="20" width="5.5546875" style="3" bestFit="1" customWidth="1"/>
    <col min="21" max="21" width="8.88671875" style="3"/>
    <col min="22" max="22" width="11.33203125" style="3" bestFit="1" customWidth="1"/>
    <col min="23" max="23" width="14.44140625" style="3" customWidth="1"/>
    <col min="24" max="24" width="9.33203125" style="3" bestFit="1" customWidth="1"/>
    <col min="25" max="25" width="9" style="3" bestFit="1" customWidth="1"/>
    <col min="26" max="27" width="8.6640625" style="3" bestFit="1" customWidth="1"/>
    <col min="28" max="29" width="8.88671875" style="3"/>
    <col min="30" max="30" width="10.109375" style="3" bestFit="1" customWidth="1"/>
    <col min="31" max="31" width="6.33203125" style="3" bestFit="1" customWidth="1"/>
    <col min="32" max="33" width="7.88671875" style="3" bestFit="1" customWidth="1"/>
    <col min="34" max="35" width="7.109375" style="3" bestFit="1" customWidth="1"/>
    <col min="36" max="16384" width="8.88671875" style="3"/>
  </cols>
  <sheetData>
    <row r="1" spans="2:36" x14ac:dyDescent="0.3">
      <c r="AD1" s="46"/>
      <c r="AJ1" s="46"/>
    </row>
    <row r="2" spans="2:36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6"/>
      <c r="AJ2" s="46"/>
    </row>
    <row r="3" spans="2:36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D3" s="46"/>
      <c r="AJ3" s="46"/>
    </row>
    <row r="4" spans="2:36" ht="15" hidden="1" thickBo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AD4" s="46"/>
      <c r="AJ4" s="46"/>
    </row>
    <row r="5" spans="2:36" ht="15" hidden="1" thickBo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AD5" s="46"/>
      <c r="AJ5" s="46"/>
    </row>
    <row r="6" spans="2:36" ht="15" hidden="1" thickBo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36" ht="15" hidden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36" ht="15" hidden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36" ht="15" hidden="1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36" ht="15" hidden="1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36" ht="15" hidden="1" thickBo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36" ht="15" hidden="1" thickBo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36" ht="15" hidden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36" ht="15" hidden="1" thickBot="1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36" ht="15" hidden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36" ht="15" hidden="1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36" ht="15" hidden="1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36" ht="15" hidden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36" ht="15" hidden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36" ht="15" hidden="1" thickBot="1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36" ht="15" hidden="1" thickBo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36" ht="15" hidden="1" thickBo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36" ht="15" hidden="1" thickBo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36" ht="15" hidden="1" thickBot="1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36" ht="15" hidden="1" thickBo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36" ht="15" hidden="1" thickBot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36" ht="27.6" x14ac:dyDescent="0.3">
      <c r="B27" s="5"/>
      <c r="C27" s="7"/>
      <c r="D27" s="5">
        <v>5</v>
      </c>
      <c r="E27" s="6">
        <v>100</v>
      </c>
      <c r="F27" s="6">
        <v>50</v>
      </c>
      <c r="G27" s="6">
        <v>50</v>
      </c>
      <c r="H27" s="6">
        <v>50</v>
      </c>
      <c r="I27" s="6">
        <v>-50</v>
      </c>
      <c r="J27" s="30"/>
      <c r="K27" s="5" t="s">
        <v>1</v>
      </c>
      <c r="L27" s="31" t="s">
        <v>10</v>
      </c>
      <c r="M27" s="31" t="s">
        <v>14</v>
      </c>
      <c r="N27" s="31" t="s">
        <v>15</v>
      </c>
      <c r="O27" s="6" t="s">
        <v>8</v>
      </c>
      <c r="P27" s="32" t="s">
        <v>9</v>
      </c>
      <c r="Q27" s="6" t="s">
        <v>13</v>
      </c>
      <c r="R27" s="7"/>
      <c r="S27" s="2"/>
      <c r="T27" s="8" t="s">
        <v>0</v>
      </c>
      <c r="V27" s="35" t="s">
        <v>12</v>
      </c>
      <c r="W27" s="35" t="s">
        <v>4</v>
      </c>
      <c r="X27" s="36" t="s">
        <v>211</v>
      </c>
      <c r="Y27" s="35" t="s">
        <v>96</v>
      </c>
      <c r="Z27" s="35" t="s">
        <v>97</v>
      </c>
      <c r="AA27" s="35" t="s">
        <v>285</v>
      </c>
    </row>
    <row r="28" spans="2:36" ht="42" thickBot="1" x14ac:dyDescent="0.35">
      <c r="B28" s="9" t="s">
        <v>5</v>
      </c>
      <c r="C28" s="11" t="s">
        <v>6</v>
      </c>
      <c r="D28" s="9" t="s">
        <v>1</v>
      </c>
      <c r="E28" s="10" t="s">
        <v>10</v>
      </c>
      <c r="F28" s="10" t="s">
        <v>11</v>
      </c>
      <c r="G28" s="10" t="s">
        <v>17</v>
      </c>
      <c r="H28" s="10" t="s">
        <v>2</v>
      </c>
      <c r="I28" s="10" t="s">
        <v>7</v>
      </c>
      <c r="J28" s="21" t="s">
        <v>0</v>
      </c>
      <c r="K28" s="25" t="s">
        <v>90</v>
      </c>
      <c r="L28" s="26" t="s">
        <v>216</v>
      </c>
      <c r="M28" s="26" t="s">
        <v>92</v>
      </c>
      <c r="N28" s="26" t="s">
        <v>33</v>
      </c>
      <c r="O28" s="27" t="s">
        <v>93</v>
      </c>
      <c r="P28" s="26" t="s">
        <v>94</v>
      </c>
      <c r="Q28" s="27">
        <v>200</v>
      </c>
      <c r="R28" s="13" t="s">
        <v>0</v>
      </c>
      <c r="T28" s="14"/>
      <c r="V28" s="41"/>
      <c r="W28" s="42" t="s">
        <v>0</v>
      </c>
      <c r="X28" s="42">
        <f>SUM(X29:X36)</f>
        <v>3025</v>
      </c>
      <c r="Y28" s="42">
        <f>SUM(Y29:Y36)</f>
        <v>145</v>
      </c>
      <c r="Z28" s="42">
        <f>SUM(Z29:Z36)</f>
        <v>-55</v>
      </c>
      <c r="AA28" s="42">
        <f>SUM(AA29:AA36)</f>
        <v>-3115</v>
      </c>
    </row>
    <row r="29" spans="2:36" x14ac:dyDescent="0.3">
      <c r="B29" s="66" t="s">
        <v>211</v>
      </c>
      <c r="C29" s="38" t="s">
        <v>25</v>
      </c>
      <c r="D29" s="5">
        <v>48</v>
      </c>
      <c r="E29" s="6"/>
      <c r="F29" s="6"/>
      <c r="G29" s="6"/>
      <c r="H29" s="6"/>
      <c r="I29" s="6"/>
      <c r="J29" s="7">
        <f>(D29*D$59)+(E29*E$59)+(F29*F$59)+(G29*G$59)+(H29*H$59)+(I29*I$59)</f>
        <v>240</v>
      </c>
      <c r="K29" s="15">
        <f>IF(D29&gt;=100, 250, IF(D29&gt;=50, 150, IF(D29&gt;=30, 50, "")))</f>
        <v>50</v>
      </c>
      <c r="L29" s="15" t="str">
        <f>IF(E29=5, 200, IF(E29=3, 150, IF(E29=2, 50, "")))</f>
        <v/>
      </c>
      <c r="M29" s="15" t="s">
        <v>258</v>
      </c>
      <c r="N29" s="15"/>
      <c r="O29" s="15"/>
      <c r="P29" s="16"/>
      <c r="Q29" s="16"/>
      <c r="R29" s="17">
        <f>SUM(K29:Q29)</f>
        <v>50</v>
      </c>
      <c r="T29" s="14">
        <f>(R29+J29)*2</f>
        <v>580</v>
      </c>
      <c r="V29" s="28">
        <v>1</v>
      </c>
      <c r="W29" s="29">
        <v>45779</v>
      </c>
      <c r="X29" s="28">
        <v>2380</v>
      </c>
      <c r="Y29" s="28">
        <v>-705</v>
      </c>
      <c r="Z29" s="28">
        <v>-1005</v>
      </c>
      <c r="AA29" s="28">
        <v>-670</v>
      </c>
    </row>
    <row r="30" spans="2:36" x14ac:dyDescent="0.3">
      <c r="B30" s="67"/>
      <c r="C30" s="4" t="s">
        <v>181</v>
      </c>
      <c r="D30" s="18"/>
      <c r="E30" s="1"/>
      <c r="F30" s="1"/>
      <c r="G30" s="1"/>
      <c r="H30" s="1"/>
      <c r="I30" s="1"/>
      <c r="J30" s="19">
        <f>(D30*D$59)+(E30*E$59)+(F30*F$59)+(G30*G$59)+(H30*H$59)+(I30*I$59)</f>
        <v>0</v>
      </c>
      <c r="K30" s="15" t="str">
        <f t="shared" ref="K30:K33" si="0">IF(D30&gt;=100, 250, IF(D30&gt;=50, 150, IF(D30&gt;=30, 50, "")))</f>
        <v/>
      </c>
      <c r="L30" s="20" t="str">
        <f t="shared" ref="L30:L33" si="1">IF(E30=5, 200, IF(E30=3, 150, IF(E30=2, 50, "")))</f>
        <v/>
      </c>
      <c r="M30" s="20" t="s">
        <v>258</v>
      </c>
      <c r="N30" s="20"/>
      <c r="O30" s="20"/>
      <c r="P30" s="1"/>
      <c r="Q30" s="1"/>
      <c r="R30" s="17">
        <f>SUM(K30:Q30)</f>
        <v>0</v>
      </c>
      <c r="T30" s="14">
        <f>R30+J30</f>
        <v>0</v>
      </c>
      <c r="V30" s="28">
        <v>2</v>
      </c>
      <c r="W30" s="29">
        <v>45780</v>
      </c>
      <c r="X30" s="45">
        <v>-885</v>
      </c>
      <c r="Y30" s="45">
        <v>2825</v>
      </c>
      <c r="Z30" s="45">
        <v>-830</v>
      </c>
      <c r="AA30" s="45">
        <v>-1110</v>
      </c>
    </row>
    <row r="31" spans="2:36" x14ac:dyDescent="0.3">
      <c r="B31" s="67"/>
      <c r="C31" s="4" t="s">
        <v>336</v>
      </c>
      <c r="D31" s="18">
        <v>31</v>
      </c>
      <c r="E31" s="1"/>
      <c r="F31" s="1"/>
      <c r="G31" s="1"/>
      <c r="H31" s="1"/>
      <c r="I31" s="1"/>
      <c r="J31" s="19">
        <f>(D31*D$59)+(E31*E$59)+(F31*F$59)+(G31*G$59)+(H31*H$59)+(I31*I$59)</f>
        <v>155</v>
      </c>
      <c r="K31" s="15">
        <f t="shared" si="0"/>
        <v>50</v>
      </c>
      <c r="L31" s="20" t="str">
        <f t="shared" si="1"/>
        <v/>
      </c>
      <c r="M31" s="20" t="s">
        <v>258</v>
      </c>
      <c r="N31" s="20"/>
      <c r="O31" s="20"/>
      <c r="P31" s="1"/>
      <c r="Q31" s="1"/>
      <c r="R31" s="17">
        <f>SUM(K31:Q31)</f>
        <v>50</v>
      </c>
      <c r="T31" s="14">
        <f>R31+J31</f>
        <v>205</v>
      </c>
      <c r="V31" s="28">
        <v>3</v>
      </c>
      <c r="W31" s="29">
        <v>45781</v>
      </c>
      <c r="X31" s="45">
        <v>2775</v>
      </c>
      <c r="Y31" s="45">
        <v>-1115</v>
      </c>
      <c r="Z31" s="45">
        <v>-365</v>
      </c>
      <c r="AA31" s="45">
        <v>-1295</v>
      </c>
    </row>
    <row r="32" spans="2:36" x14ac:dyDescent="0.3">
      <c r="B32" s="67"/>
      <c r="C32" s="4" t="s">
        <v>337</v>
      </c>
      <c r="D32" s="18"/>
      <c r="E32" s="1">
        <v>1</v>
      </c>
      <c r="F32" s="1"/>
      <c r="G32" s="1"/>
      <c r="H32" s="1"/>
      <c r="I32" s="1"/>
      <c r="J32" s="19">
        <f>(D32*D$59)+(E32*E$59)+(F32*F$59)+(G32*G$59)+(H32*H$59)+(I32*I$59)</f>
        <v>100</v>
      </c>
      <c r="K32" s="15" t="str">
        <f t="shared" si="0"/>
        <v/>
      </c>
      <c r="L32" s="20" t="str">
        <f t="shared" si="1"/>
        <v/>
      </c>
      <c r="M32" s="20" t="s">
        <v>258</v>
      </c>
      <c r="N32" s="20"/>
      <c r="O32" s="20"/>
      <c r="P32" s="1"/>
      <c r="Q32" s="1"/>
      <c r="R32" s="17">
        <f>SUM(K32:Q32)</f>
        <v>0</v>
      </c>
      <c r="T32" s="14">
        <f>R32+J32</f>
        <v>100</v>
      </c>
      <c r="V32" s="28">
        <v>4</v>
      </c>
      <c r="W32" s="29">
        <v>45781</v>
      </c>
      <c r="X32" s="45">
        <v>-1175</v>
      </c>
      <c r="Y32" s="45">
        <v>-605</v>
      </c>
      <c r="Z32" s="45">
        <v>2345</v>
      </c>
      <c r="AA32" s="45">
        <v>-565</v>
      </c>
      <c r="AC32" s="50" t="s">
        <v>5</v>
      </c>
      <c r="AD32" s="50" t="s">
        <v>235</v>
      </c>
      <c r="AF32" s="47"/>
      <c r="AG32" s="47" t="s">
        <v>211</v>
      </c>
      <c r="AH32" s="48" t="s">
        <v>96</v>
      </c>
      <c r="AI32" s="48" t="s">
        <v>97</v>
      </c>
      <c r="AJ32" s="48" t="s">
        <v>285</v>
      </c>
    </row>
    <row r="33" spans="2:36" ht="15" thickBot="1" x14ac:dyDescent="0.35">
      <c r="B33" s="68"/>
      <c r="C33" s="21" t="s">
        <v>69</v>
      </c>
      <c r="D33" s="9">
        <v>9</v>
      </c>
      <c r="E33" s="10"/>
      <c r="F33" s="10"/>
      <c r="G33" s="10"/>
      <c r="H33" s="10">
        <v>3</v>
      </c>
      <c r="I33" s="10"/>
      <c r="J33" s="11">
        <f>(D33*D$59)+(E33*E$59)+(F33*F$59)+(G33*G$59)+(H33*H$59)+(I33*I$59)</f>
        <v>195</v>
      </c>
      <c r="K33" s="12" t="str">
        <f t="shared" si="0"/>
        <v/>
      </c>
      <c r="L33" s="12" t="str">
        <f t="shared" si="1"/>
        <v/>
      </c>
      <c r="M33" s="12">
        <v>100</v>
      </c>
      <c r="N33" s="12"/>
      <c r="O33" s="12"/>
      <c r="P33" s="10"/>
      <c r="Q33" s="10"/>
      <c r="R33" s="13">
        <f>SUM(K33:Q33)</f>
        <v>100</v>
      </c>
      <c r="T33" s="22">
        <f>(R33+J33)</f>
        <v>295</v>
      </c>
      <c r="V33" s="28">
        <v>5</v>
      </c>
      <c r="W33" s="29">
        <v>45784</v>
      </c>
      <c r="X33" s="28">
        <f>T34-T52</f>
        <v>-70</v>
      </c>
      <c r="Y33" s="28">
        <f>T40-T52</f>
        <v>-255</v>
      </c>
      <c r="Z33" s="28">
        <f>T46-T52</f>
        <v>-200</v>
      </c>
      <c r="AA33" s="28">
        <f>-(Z33+Y33+X33)</f>
        <v>525</v>
      </c>
      <c r="AC33" s="28" t="s">
        <v>211</v>
      </c>
      <c r="AD33" s="28">
        <f>T34</f>
        <v>1180</v>
      </c>
      <c r="AF33" s="49" t="s">
        <v>165</v>
      </c>
      <c r="AG33" s="49">
        <v>-4745</v>
      </c>
      <c r="AH33" s="49">
        <v>2405</v>
      </c>
      <c r="AI33" s="49">
        <v>10275</v>
      </c>
      <c r="AJ33" s="49">
        <v>-7935</v>
      </c>
    </row>
    <row r="34" spans="2:36" ht="15" thickBot="1" x14ac:dyDescent="0.35">
      <c r="K34" s="2" t="s">
        <v>258</v>
      </c>
      <c r="L34" s="2" t="s">
        <v>258</v>
      </c>
      <c r="T34" s="63">
        <f>SUM(T29:T33)</f>
        <v>1180</v>
      </c>
      <c r="V34" s="28">
        <v>6</v>
      </c>
      <c r="W34" s="29"/>
      <c r="X34" s="28"/>
      <c r="Y34" s="28"/>
      <c r="Z34" s="28"/>
      <c r="AA34" s="28"/>
      <c r="AC34" s="28" t="s">
        <v>96</v>
      </c>
      <c r="AD34" s="28">
        <f>T40</f>
        <v>995</v>
      </c>
      <c r="AF34" s="49" t="s">
        <v>210</v>
      </c>
      <c r="AG34" s="49">
        <v>-5315</v>
      </c>
      <c r="AH34" s="49">
        <v>-3535</v>
      </c>
      <c r="AI34" s="49">
        <v>5950</v>
      </c>
      <c r="AJ34" s="49">
        <v>2900</v>
      </c>
    </row>
    <row r="35" spans="2:36" x14ac:dyDescent="0.3">
      <c r="B35" s="66" t="s">
        <v>96</v>
      </c>
      <c r="C35" s="39" t="s">
        <v>49</v>
      </c>
      <c r="D35" s="23">
        <v>26</v>
      </c>
      <c r="E35" s="6"/>
      <c r="F35" s="6"/>
      <c r="G35" s="6"/>
      <c r="H35" s="6"/>
      <c r="I35" s="6"/>
      <c r="J35" s="7">
        <f>(D35*D$59)+(E35*E$59)+(F35*F$59)+(G35*G$59)+(H35*H$59)+(I35*I$59)</f>
        <v>130</v>
      </c>
      <c r="K35" s="23" t="str">
        <f t="shared" ref="K35:K39" si="2">IF(D35&gt;=100, 250, IF(D35&gt;=50, 150, IF(D35&gt;=30, 50, "")))</f>
        <v/>
      </c>
      <c r="L35" s="23" t="str">
        <f t="shared" ref="L35:L39" si="3">IF(E35=5, 200, IF(E35=3, 150, IF(E35=2, 50, "")))</f>
        <v/>
      </c>
      <c r="M35" s="23"/>
      <c r="N35" s="23"/>
      <c r="O35" s="23"/>
      <c r="P35" s="6"/>
      <c r="Q35" s="6"/>
      <c r="R35" s="24">
        <f>SUM(K35:Q35)</f>
        <v>0</v>
      </c>
      <c r="T35" s="33">
        <f>(R35+J35)*2</f>
        <v>260</v>
      </c>
      <c r="V35" s="28">
        <v>7</v>
      </c>
      <c r="W35" s="29"/>
      <c r="X35" s="28"/>
      <c r="Y35" s="28"/>
      <c r="Z35" s="28"/>
      <c r="AA35" s="28"/>
      <c r="AC35" s="28" t="s">
        <v>97</v>
      </c>
      <c r="AD35" s="28">
        <f>T46</f>
        <v>1050</v>
      </c>
      <c r="AF35" s="49" t="s">
        <v>236</v>
      </c>
      <c r="AG35" s="49">
        <v>14615</v>
      </c>
      <c r="AH35" s="49">
        <v>-7370</v>
      </c>
      <c r="AI35" s="49">
        <v>-1095</v>
      </c>
      <c r="AJ35" s="49">
        <v>-6150</v>
      </c>
    </row>
    <row r="36" spans="2:36" x14ac:dyDescent="0.3">
      <c r="B36" s="67"/>
      <c r="C36" s="19" t="s">
        <v>59</v>
      </c>
      <c r="D36" s="20">
        <v>19</v>
      </c>
      <c r="E36" s="1">
        <v>1</v>
      </c>
      <c r="F36" s="1"/>
      <c r="G36" s="1"/>
      <c r="H36" s="1"/>
      <c r="I36" s="1"/>
      <c r="J36" s="19">
        <f>(D36*D$59)+(E36*E$59)+(F36*F$59)+(G36*G$59)+(H36*H$59)+(I36*I$59)</f>
        <v>195</v>
      </c>
      <c r="K36" s="15" t="str">
        <f t="shared" si="2"/>
        <v/>
      </c>
      <c r="L36" s="20" t="str">
        <f t="shared" si="3"/>
        <v/>
      </c>
      <c r="M36" s="20"/>
      <c r="N36" s="20"/>
      <c r="O36" s="20"/>
      <c r="P36" s="1"/>
      <c r="Q36" s="1"/>
      <c r="R36" s="17">
        <f>SUM(K36:Q36)</f>
        <v>0</v>
      </c>
      <c r="T36" s="14">
        <f>R36+J36</f>
        <v>195</v>
      </c>
      <c r="V36" s="28">
        <v>8</v>
      </c>
      <c r="W36" s="29"/>
      <c r="X36" s="28"/>
      <c r="Y36" s="28"/>
      <c r="Z36" s="28"/>
      <c r="AA36" s="28"/>
      <c r="AC36" s="28" t="s">
        <v>285</v>
      </c>
      <c r="AD36" s="28">
        <f>T52</f>
        <v>1250</v>
      </c>
      <c r="AF36" s="49" t="s">
        <v>272</v>
      </c>
      <c r="AG36" s="49">
        <v>1160</v>
      </c>
      <c r="AH36" s="49">
        <v>13575</v>
      </c>
      <c r="AI36" s="49">
        <v>-8990</v>
      </c>
      <c r="AJ36" s="49">
        <v>-5745</v>
      </c>
    </row>
    <row r="37" spans="2:36" x14ac:dyDescent="0.3">
      <c r="B37" s="67"/>
      <c r="C37" s="19" t="s">
        <v>64</v>
      </c>
      <c r="D37" s="20">
        <v>38</v>
      </c>
      <c r="E37" s="1"/>
      <c r="F37" s="1"/>
      <c r="G37" s="1"/>
      <c r="H37" s="1"/>
      <c r="I37" s="1"/>
      <c r="J37" s="19">
        <f>(D37*D$59)+(E37*E$59)+(F37*F$59)+(G37*G$59)+(H37*H$59)+(I37*I$59)</f>
        <v>190</v>
      </c>
      <c r="K37" s="15">
        <f t="shared" si="2"/>
        <v>50</v>
      </c>
      <c r="L37" s="20" t="str">
        <f t="shared" si="3"/>
        <v/>
      </c>
      <c r="M37" s="20"/>
      <c r="N37" s="20"/>
      <c r="O37" s="20"/>
      <c r="P37" s="1"/>
      <c r="Q37" s="1"/>
      <c r="R37" s="17">
        <f>SUM(K37:Q37)</f>
        <v>50</v>
      </c>
      <c r="T37" s="14">
        <f>R37+J37</f>
        <v>240</v>
      </c>
      <c r="V37" s="28"/>
      <c r="W37" s="29"/>
      <c r="X37" s="28"/>
      <c r="Y37" s="28"/>
      <c r="Z37" s="28"/>
      <c r="AA37" s="28"/>
      <c r="AF37" s="49" t="s">
        <v>284</v>
      </c>
      <c r="AG37" s="49">
        <v>7915</v>
      </c>
      <c r="AH37" s="49">
        <v>-8325</v>
      </c>
      <c r="AI37" s="49">
        <v>-2815</v>
      </c>
      <c r="AJ37" s="49">
        <v>3225</v>
      </c>
    </row>
    <row r="38" spans="2:36" x14ac:dyDescent="0.3">
      <c r="B38" s="67"/>
      <c r="C38" s="19" t="s">
        <v>140</v>
      </c>
      <c r="D38" s="20"/>
      <c r="E38" s="1">
        <v>2</v>
      </c>
      <c r="F38" s="1"/>
      <c r="G38" s="1"/>
      <c r="H38" s="1">
        <v>1</v>
      </c>
      <c r="I38" s="1"/>
      <c r="J38" s="19">
        <f>(D38*D$59)+(E38*E$59)+(F38*F$59)+(G38*G$59)+(H38*H$59)+(I38*I$59)</f>
        <v>250</v>
      </c>
      <c r="K38" s="15" t="str">
        <f t="shared" si="2"/>
        <v/>
      </c>
      <c r="L38" s="20">
        <f t="shared" si="3"/>
        <v>50</v>
      </c>
      <c r="M38" s="20"/>
      <c r="N38" s="20"/>
      <c r="O38" s="20"/>
      <c r="P38" s="1"/>
      <c r="Q38" s="1"/>
      <c r="R38" s="17">
        <f>SUM(K38:Q38)</f>
        <v>50</v>
      </c>
      <c r="T38" s="14">
        <f>R38+J38</f>
        <v>300</v>
      </c>
      <c r="V38" s="28"/>
      <c r="W38" s="29"/>
      <c r="X38" s="28"/>
      <c r="Y38" s="28"/>
      <c r="Z38" s="28"/>
      <c r="AA38" s="28"/>
      <c r="AF38" s="49" t="s">
        <v>308</v>
      </c>
      <c r="AG38" s="49">
        <v>-3625</v>
      </c>
      <c r="AH38" s="49">
        <v>1665</v>
      </c>
      <c r="AI38" s="49">
        <v>-2055</v>
      </c>
      <c r="AJ38" s="49">
        <v>4015</v>
      </c>
    </row>
    <row r="39" spans="2:36" ht="15" thickBot="1" x14ac:dyDescent="0.35">
      <c r="B39" s="68"/>
      <c r="C39" s="11" t="s">
        <v>77</v>
      </c>
      <c r="D39" s="12"/>
      <c r="E39" s="10"/>
      <c r="F39" s="10"/>
      <c r="G39" s="10"/>
      <c r="H39" s="10"/>
      <c r="I39" s="10"/>
      <c r="J39" s="11">
        <f>(D39*D$59)+(E39*E$59)+(F39*F$59)+(G39*G$59)+(H39*H$59)+(I39*I$59)</f>
        <v>0</v>
      </c>
      <c r="K39" s="12" t="str">
        <f t="shared" si="2"/>
        <v/>
      </c>
      <c r="L39" s="12" t="str">
        <f t="shared" si="3"/>
        <v/>
      </c>
      <c r="M39" s="12"/>
      <c r="N39" s="12"/>
      <c r="O39" s="12"/>
      <c r="P39" s="10"/>
      <c r="Q39" s="10"/>
      <c r="R39" s="13">
        <f>SUM(K39:Q39)</f>
        <v>0</v>
      </c>
      <c r="T39" s="34">
        <f>R39+J39</f>
        <v>0</v>
      </c>
      <c r="V39" s="28"/>
      <c r="W39" s="29"/>
      <c r="X39" s="28"/>
      <c r="Y39" s="28"/>
      <c r="Z39" s="28"/>
      <c r="AA39" s="28"/>
      <c r="AF39" s="49" t="s">
        <v>335</v>
      </c>
      <c r="AG39" s="49">
        <f>X28</f>
        <v>3025</v>
      </c>
      <c r="AH39" s="49">
        <f>Y28</f>
        <v>145</v>
      </c>
      <c r="AI39" s="49">
        <f>Z28</f>
        <v>-55</v>
      </c>
      <c r="AJ39" s="49">
        <f>AA28</f>
        <v>-3115</v>
      </c>
    </row>
    <row r="40" spans="2:36" ht="15" thickBot="1" x14ac:dyDescent="0.35">
      <c r="K40" s="2" t="s">
        <v>258</v>
      </c>
      <c r="L40" s="2" t="s">
        <v>258</v>
      </c>
      <c r="T40" s="63">
        <f>SUM(T35:T39)</f>
        <v>995</v>
      </c>
      <c r="V40" s="28"/>
      <c r="W40" s="29"/>
      <c r="X40" s="28"/>
      <c r="Y40" s="28"/>
      <c r="Z40" s="28"/>
      <c r="AA40" s="28"/>
      <c r="AF40" s="49" t="s">
        <v>0</v>
      </c>
      <c r="AG40" s="49">
        <f>SUM(AG33:AG39)</f>
        <v>13030</v>
      </c>
      <c r="AH40" s="49">
        <f t="shared" ref="AH40:AJ40" si="4">SUM(AH33:AH39)</f>
        <v>-1440</v>
      </c>
      <c r="AI40" s="49">
        <f t="shared" si="4"/>
        <v>1215</v>
      </c>
      <c r="AJ40" s="49">
        <f t="shared" si="4"/>
        <v>-12805</v>
      </c>
    </row>
    <row r="41" spans="2:36" x14ac:dyDescent="0.3">
      <c r="B41" s="66" t="s">
        <v>97</v>
      </c>
      <c r="C41" s="39" t="s">
        <v>297</v>
      </c>
      <c r="D41" s="23">
        <v>11</v>
      </c>
      <c r="E41" s="6"/>
      <c r="F41" s="6"/>
      <c r="G41" s="6"/>
      <c r="H41" s="6"/>
      <c r="I41" s="6"/>
      <c r="J41" s="7">
        <f>(D41*D$59)+(E41*E$59)+(F41*F$59)+(G41*G$59)+(H41*H$59)+(I41*I$59)</f>
        <v>55</v>
      </c>
      <c r="K41" s="23" t="str">
        <f t="shared" ref="K41:K45" si="5">IF(D41&gt;=100, 250, IF(D41&gt;=50, 150, IF(D41&gt;=30, 50, "")))</f>
        <v/>
      </c>
      <c r="L41" s="23" t="str">
        <f t="shared" ref="L41:L45" si="6">IF(E41=5, 200, IF(E41=3, 150, IF(E41=2, 50, "")))</f>
        <v/>
      </c>
      <c r="M41" s="23"/>
      <c r="N41" s="23"/>
      <c r="O41" s="23"/>
      <c r="P41" s="6"/>
      <c r="Q41" s="6"/>
      <c r="R41" s="24">
        <f>SUM(K41:Q41)</f>
        <v>0</v>
      </c>
      <c r="T41" s="33">
        <f>(R41+J41)*2</f>
        <v>110</v>
      </c>
      <c r="V41" s="28"/>
      <c r="W41" s="29"/>
      <c r="X41" s="28"/>
      <c r="Y41" s="28"/>
      <c r="Z41" s="28"/>
      <c r="AA41" s="28"/>
    </row>
    <row r="42" spans="2:36" x14ac:dyDescent="0.3">
      <c r="B42" s="67"/>
      <c r="C42" s="19" t="s">
        <v>217</v>
      </c>
      <c r="D42" s="20">
        <v>0</v>
      </c>
      <c r="E42" s="1"/>
      <c r="F42" s="1"/>
      <c r="G42" s="1"/>
      <c r="H42" s="1">
        <v>1</v>
      </c>
      <c r="I42" s="1">
        <v>1</v>
      </c>
      <c r="J42" s="19">
        <f>(D42*D$59)+(E42*E$59)+(F42*F$59)+(G42*G$59)+(H42*H$59)+(I42*I$59)</f>
        <v>0</v>
      </c>
      <c r="K42" s="15" t="str">
        <f t="shared" si="5"/>
        <v/>
      </c>
      <c r="L42" s="20" t="str">
        <f t="shared" si="6"/>
        <v/>
      </c>
      <c r="M42" s="20"/>
      <c r="N42" s="20"/>
      <c r="O42" s="20"/>
      <c r="P42" s="1"/>
      <c r="Q42" s="1"/>
      <c r="R42" s="17">
        <f>SUM(K42:Q42)</f>
        <v>0</v>
      </c>
      <c r="T42" s="14">
        <f>R42+J42</f>
        <v>0</v>
      </c>
      <c r="V42" s="28"/>
      <c r="W42" s="29"/>
      <c r="X42" s="28"/>
      <c r="Y42" s="28"/>
      <c r="Z42" s="28"/>
      <c r="AA42" s="28"/>
    </row>
    <row r="43" spans="2:36" x14ac:dyDescent="0.3">
      <c r="B43" s="67"/>
      <c r="C43" s="19" t="s">
        <v>205</v>
      </c>
      <c r="D43" s="20">
        <v>1</v>
      </c>
      <c r="E43" s="1"/>
      <c r="F43" s="1"/>
      <c r="G43" s="1"/>
      <c r="H43" s="1">
        <v>1</v>
      </c>
      <c r="I43" s="1"/>
      <c r="J43" s="19">
        <f>(D43*D$59)+(E43*E$59)+(F43*F$59)+(G43*G$59)+(H43*H$59)+(I43*I$59)</f>
        <v>55</v>
      </c>
      <c r="K43" s="15" t="str">
        <f t="shared" si="5"/>
        <v/>
      </c>
      <c r="L43" s="20" t="str">
        <f t="shared" si="6"/>
        <v/>
      </c>
      <c r="M43" s="20"/>
      <c r="N43" s="20"/>
      <c r="O43" s="20"/>
      <c r="P43" s="1"/>
      <c r="Q43" s="1"/>
      <c r="R43" s="17">
        <f>SUM(K43:Q43)</f>
        <v>0</v>
      </c>
      <c r="T43" s="14">
        <f>R43+J43</f>
        <v>55</v>
      </c>
      <c r="V43" s="28"/>
      <c r="W43" s="29"/>
      <c r="X43" s="28"/>
      <c r="Y43" s="28"/>
      <c r="Z43" s="28"/>
      <c r="AA43" s="28"/>
    </row>
    <row r="44" spans="2:36" x14ac:dyDescent="0.3">
      <c r="B44" s="67"/>
      <c r="C44" s="19" t="s">
        <v>26</v>
      </c>
      <c r="D44" s="20">
        <v>2</v>
      </c>
      <c r="E44" s="1">
        <v>4</v>
      </c>
      <c r="F44" s="1"/>
      <c r="G44" s="1"/>
      <c r="H44" s="1">
        <v>1</v>
      </c>
      <c r="I44" s="1"/>
      <c r="J44" s="19">
        <f>(D44*D$59)+(E44*E$59)+(F44*F$59)+(G44*G$59)+(H44*H$59)+(I44*I$59)</f>
        <v>460</v>
      </c>
      <c r="K44" s="15" t="str">
        <f t="shared" si="5"/>
        <v/>
      </c>
      <c r="L44" s="20">
        <v>150</v>
      </c>
      <c r="M44" s="20"/>
      <c r="N44" s="20"/>
      <c r="O44" s="20"/>
      <c r="P44" s="1"/>
      <c r="Q44" s="1"/>
      <c r="R44" s="17">
        <f>SUM(K44:Q44)</f>
        <v>150</v>
      </c>
      <c r="T44" s="14">
        <f>R44+J44</f>
        <v>610</v>
      </c>
      <c r="V44" s="28"/>
      <c r="W44" s="29"/>
      <c r="X44" s="28"/>
      <c r="Y44" s="28"/>
      <c r="Z44" s="28"/>
      <c r="AA44" s="28"/>
    </row>
    <row r="45" spans="2:36" ht="15" thickBot="1" x14ac:dyDescent="0.35">
      <c r="B45" s="68"/>
      <c r="C45" s="11" t="s">
        <v>66</v>
      </c>
      <c r="D45" s="12">
        <v>45</v>
      </c>
      <c r="E45" s="10"/>
      <c r="F45" s="10"/>
      <c r="G45" s="10"/>
      <c r="H45" s="10"/>
      <c r="I45" s="10"/>
      <c r="J45" s="11">
        <f>(D45*D$59)+(E45*E$59)+(F45*F$59)+(G45*G$59)+(H45*H$59)+(I45*I$59)</f>
        <v>225</v>
      </c>
      <c r="K45" s="12">
        <f t="shared" si="5"/>
        <v>50</v>
      </c>
      <c r="L45" s="12" t="str">
        <f t="shared" si="6"/>
        <v/>
      </c>
      <c r="M45" s="12"/>
      <c r="N45" s="12"/>
      <c r="O45" s="12"/>
      <c r="P45" s="10"/>
      <c r="Q45" s="10"/>
      <c r="R45" s="13">
        <f>SUM(K45:Q45)</f>
        <v>50</v>
      </c>
      <c r="T45" s="34">
        <f>R45+J45</f>
        <v>275</v>
      </c>
      <c r="V45" s="28"/>
      <c r="W45" s="29"/>
      <c r="X45" s="28"/>
      <c r="Y45" s="28"/>
      <c r="Z45" s="28"/>
      <c r="AA45" s="28"/>
    </row>
    <row r="46" spans="2:36" ht="15" thickBot="1" x14ac:dyDescent="0.35">
      <c r="K46" s="2" t="s">
        <v>258</v>
      </c>
      <c r="L46" s="2" t="s">
        <v>258</v>
      </c>
      <c r="T46" s="63">
        <f>SUM(T41:T45)</f>
        <v>1050</v>
      </c>
      <c r="V46" s="28"/>
      <c r="W46" s="29"/>
      <c r="X46" s="28"/>
      <c r="Y46" s="28"/>
      <c r="Z46" s="28"/>
      <c r="AA46" s="28"/>
    </row>
    <row r="47" spans="2:36" x14ac:dyDescent="0.3">
      <c r="B47" s="66" t="s">
        <v>285</v>
      </c>
      <c r="C47" s="39" t="s">
        <v>331</v>
      </c>
      <c r="D47" s="23">
        <v>0</v>
      </c>
      <c r="E47" s="6"/>
      <c r="F47" s="6"/>
      <c r="G47" s="6"/>
      <c r="H47" s="6">
        <v>1</v>
      </c>
      <c r="I47" s="6">
        <v>1</v>
      </c>
      <c r="J47" s="7">
        <f>(D47*D$59)+(E47*E$59)+(F47*F$59)+(G47*G$59)+(H47*H$59)+(I47*I$59)</f>
        <v>0</v>
      </c>
      <c r="K47" s="23" t="str">
        <f t="shared" ref="K47:K51" si="7">IF(D47&gt;=100, 250, IF(D47&gt;=50, 150, IF(D47&gt;=30, 50, "")))</f>
        <v/>
      </c>
      <c r="L47" s="23" t="str">
        <f t="shared" ref="L47:L51" si="8">IF(E47=5, 200, IF(E47=3, 150, IF(E47=2, 50, "")))</f>
        <v/>
      </c>
      <c r="M47" s="23"/>
      <c r="N47" s="23"/>
      <c r="O47" s="23"/>
      <c r="P47" s="6"/>
      <c r="Q47" s="6"/>
      <c r="R47" s="24">
        <f>SUM(K47:Q47)</f>
        <v>0</v>
      </c>
      <c r="T47" s="33">
        <f>(R47+J47)*2</f>
        <v>0</v>
      </c>
      <c r="V47" s="28"/>
      <c r="W47" s="29"/>
      <c r="X47" s="28"/>
      <c r="Y47" s="28"/>
      <c r="Z47" s="28"/>
      <c r="AA47" s="28"/>
    </row>
    <row r="48" spans="2:36" x14ac:dyDescent="0.3">
      <c r="B48" s="67"/>
      <c r="C48" s="19" t="s">
        <v>330</v>
      </c>
      <c r="D48" s="20">
        <v>52</v>
      </c>
      <c r="E48" s="1"/>
      <c r="F48" s="1"/>
      <c r="G48" s="1"/>
      <c r="H48" s="1">
        <v>1</v>
      </c>
      <c r="I48" s="1"/>
      <c r="J48" s="19">
        <f>(D48*D$59)+(E48*E$59)+(F48*F$59)+(G48*G$59)+(H48*H$59)+(I48*I$59)</f>
        <v>310</v>
      </c>
      <c r="K48" s="15">
        <f t="shared" si="7"/>
        <v>150</v>
      </c>
      <c r="L48" s="20" t="str">
        <f t="shared" si="8"/>
        <v/>
      </c>
      <c r="M48" s="20"/>
      <c r="N48" s="20"/>
      <c r="O48" s="20"/>
      <c r="P48" s="1"/>
      <c r="Q48" s="1"/>
      <c r="R48" s="17">
        <f>SUM(K48:Q48)</f>
        <v>150</v>
      </c>
      <c r="T48" s="14">
        <f>R48+J48</f>
        <v>460</v>
      </c>
      <c r="V48" s="28"/>
      <c r="W48" s="29"/>
      <c r="X48" s="28"/>
      <c r="Y48" s="28"/>
      <c r="Z48" s="28"/>
      <c r="AA48" s="28"/>
    </row>
    <row r="49" spans="2:30" x14ac:dyDescent="0.3">
      <c r="B49" s="67"/>
      <c r="C49" s="19" t="s">
        <v>190</v>
      </c>
      <c r="D49" s="20"/>
      <c r="E49" s="1">
        <v>2</v>
      </c>
      <c r="F49" s="1"/>
      <c r="G49" s="1"/>
      <c r="H49" s="1">
        <v>1</v>
      </c>
      <c r="I49" s="1"/>
      <c r="J49" s="19">
        <f>(D49*D$59)+(E49*E$59)+(F49*F$59)+(G49*G$59)+(H49*H$59)+(I49*I$59)</f>
        <v>250</v>
      </c>
      <c r="K49" s="15" t="str">
        <f t="shared" si="7"/>
        <v/>
      </c>
      <c r="L49" s="20">
        <f t="shared" si="8"/>
        <v>50</v>
      </c>
      <c r="M49" s="20" t="s">
        <v>258</v>
      </c>
      <c r="N49" s="20"/>
      <c r="O49" s="20"/>
      <c r="P49" s="1"/>
      <c r="Q49" s="1"/>
      <c r="R49" s="17">
        <f>SUM(K49:Q49)</f>
        <v>50</v>
      </c>
      <c r="T49" s="14">
        <f>R49+J49</f>
        <v>300</v>
      </c>
      <c r="V49" s="28"/>
      <c r="W49" s="29"/>
      <c r="X49" s="28"/>
      <c r="Y49" s="28"/>
      <c r="Z49" s="28"/>
      <c r="AA49" s="28"/>
    </row>
    <row r="50" spans="2:30" x14ac:dyDescent="0.3">
      <c r="B50" s="67"/>
      <c r="C50" s="19" t="s">
        <v>244</v>
      </c>
      <c r="D50" s="20"/>
      <c r="E50" s="1">
        <v>3</v>
      </c>
      <c r="F50" s="1"/>
      <c r="G50" s="1"/>
      <c r="H50" s="1"/>
      <c r="I50" s="1"/>
      <c r="J50" s="19">
        <f>(D50*D$59)+(E50*E$59)+(F50*F$59)+(G50*G$59)+(H50*H$59)+(I50*I$59)</f>
        <v>300</v>
      </c>
      <c r="K50" s="15" t="str">
        <f t="shared" si="7"/>
        <v/>
      </c>
      <c r="L50" s="20">
        <f t="shared" si="8"/>
        <v>150</v>
      </c>
      <c r="M50" s="20" t="s">
        <v>258</v>
      </c>
      <c r="N50" s="20"/>
      <c r="O50" s="20"/>
      <c r="P50" s="1"/>
      <c r="Q50" s="1"/>
      <c r="R50" s="17">
        <f>SUM(K50:Q50)</f>
        <v>150</v>
      </c>
      <c r="T50" s="14">
        <f>R50+J50</f>
        <v>450</v>
      </c>
      <c r="V50" s="28"/>
      <c r="W50" s="29"/>
      <c r="X50" s="28"/>
      <c r="Y50" s="28"/>
      <c r="Z50" s="28"/>
      <c r="AA50" s="28"/>
    </row>
    <row r="51" spans="2:30" ht="15" thickBot="1" x14ac:dyDescent="0.35">
      <c r="B51" s="68"/>
      <c r="C51" s="11" t="s">
        <v>68</v>
      </c>
      <c r="D51" s="12">
        <v>8</v>
      </c>
      <c r="E51" s="10"/>
      <c r="F51" s="10"/>
      <c r="G51" s="10"/>
      <c r="H51" s="10"/>
      <c r="I51" s="10"/>
      <c r="J51" s="11">
        <f>(D51*D$59)+(E51*E$59)+(F51*F$59)+(G51*G$59)+(H51*H$59)+(I51*I$59)</f>
        <v>40</v>
      </c>
      <c r="K51" s="12" t="str">
        <f t="shared" si="7"/>
        <v/>
      </c>
      <c r="L51" s="12" t="str">
        <f t="shared" si="8"/>
        <v/>
      </c>
      <c r="M51" s="12" t="s">
        <v>258</v>
      </c>
      <c r="N51" s="12"/>
      <c r="O51" s="12"/>
      <c r="P51" s="10"/>
      <c r="Q51" s="10"/>
      <c r="R51" s="13">
        <f>SUM(K51:Q51)</f>
        <v>0</v>
      </c>
      <c r="T51" s="34">
        <f>R51+J51</f>
        <v>40</v>
      </c>
      <c r="V51" s="28"/>
      <c r="W51" s="29"/>
      <c r="X51" s="28"/>
      <c r="Y51" s="28"/>
      <c r="Z51" s="28"/>
      <c r="AA51" s="28"/>
    </row>
    <row r="52" spans="2:30" ht="15" thickBot="1" x14ac:dyDescent="0.35">
      <c r="T52" s="63">
        <f>SUM(T47:T51)</f>
        <v>1250</v>
      </c>
      <c r="V52" s="28"/>
      <c r="W52" s="29"/>
      <c r="X52" s="28"/>
      <c r="Y52" s="28"/>
      <c r="Z52" s="28"/>
      <c r="AA52" s="28"/>
    </row>
    <row r="54" spans="2:30" x14ac:dyDescent="0.3">
      <c r="W54" s="40"/>
    </row>
    <row r="55" spans="2:30" x14ac:dyDescent="0.3">
      <c r="W55" s="40"/>
    </row>
    <row r="56" spans="2:30" x14ac:dyDescent="0.3">
      <c r="W56" s="40"/>
    </row>
    <row r="57" spans="2:30" x14ac:dyDescent="0.3">
      <c r="W57" s="40"/>
    </row>
    <row r="58" spans="2:30" ht="15" thickBot="1" x14ac:dyDescent="0.35">
      <c r="W58" s="40"/>
    </row>
    <row r="59" spans="2:30" ht="27.6" x14ac:dyDescent="0.3">
      <c r="B59" s="5"/>
      <c r="C59" s="7"/>
      <c r="D59" s="5">
        <v>5</v>
      </c>
      <c r="E59" s="6">
        <v>100</v>
      </c>
      <c r="F59" s="6">
        <v>50</v>
      </c>
      <c r="G59" s="6">
        <v>50</v>
      </c>
      <c r="H59" s="6">
        <v>50</v>
      </c>
      <c r="I59" s="6">
        <v>-50</v>
      </c>
      <c r="J59" s="30"/>
      <c r="K59" s="5" t="s">
        <v>1</v>
      </c>
      <c r="L59" s="31" t="s">
        <v>10</v>
      </c>
      <c r="M59" s="31" t="s">
        <v>14</v>
      </c>
      <c r="N59" s="31" t="s">
        <v>15</v>
      </c>
      <c r="O59" s="6" t="s">
        <v>8</v>
      </c>
      <c r="P59" s="32" t="s">
        <v>9</v>
      </c>
      <c r="Q59" s="6" t="s">
        <v>13</v>
      </c>
      <c r="R59" s="7"/>
      <c r="S59" s="2"/>
      <c r="T59" s="8" t="s">
        <v>0</v>
      </c>
      <c r="V59" s="35" t="s">
        <v>12</v>
      </c>
      <c r="W59" s="35" t="s">
        <v>4</v>
      </c>
      <c r="X59" s="36" t="s">
        <v>211</v>
      </c>
      <c r="Y59" s="35" t="s">
        <v>96</v>
      </c>
      <c r="Z59" s="35" t="s">
        <v>97</v>
      </c>
      <c r="AA59" s="35" t="s">
        <v>285</v>
      </c>
    </row>
    <row r="60" spans="2:30" ht="42" thickBot="1" x14ac:dyDescent="0.35">
      <c r="B60" s="9" t="s">
        <v>5</v>
      </c>
      <c r="C60" s="11" t="s">
        <v>6</v>
      </c>
      <c r="D60" s="9" t="s">
        <v>1</v>
      </c>
      <c r="E60" s="10" t="s">
        <v>10</v>
      </c>
      <c r="F60" s="10" t="s">
        <v>11</v>
      </c>
      <c r="G60" s="10" t="s">
        <v>17</v>
      </c>
      <c r="H60" s="10" t="s">
        <v>2</v>
      </c>
      <c r="I60" s="10" t="s">
        <v>7</v>
      </c>
      <c r="J60" s="21" t="s">
        <v>0</v>
      </c>
      <c r="K60" s="25" t="s">
        <v>90</v>
      </c>
      <c r="L60" s="26" t="s">
        <v>91</v>
      </c>
      <c r="M60" s="26" t="s">
        <v>92</v>
      </c>
      <c r="N60" s="26" t="s">
        <v>33</v>
      </c>
      <c r="O60" s="27" t="s">
        <v>93</v>
      </c>
      <c r="P60" s="26" t="s">
        <v>94</v>
      </c>
      <c r="Q60" s="27">
        <v>200</v>
      </c>
      <c r="R60" s="13" t="s">
        <v>0</v>
      </c>
      <c r="T60" s="14"/>
      <c r="V60" s="41"/>
      <c r="W60" s="42" t="s">
        <v>0</v>
      </c>
      <c r="X60" s="42">
        <f>SUM(X61:X68)</f>
        <v>2895</v>
      </c>
      <c r="Y60" s="42">
        <f>SUM(Y61:Y68)</f>
        <v>400</v>
      </c>
      <c r="Z60" s="42">
        <f>SUM(Z61:Z68)</f>
        <v>345</v>
      </c>
      <c r="AA60" s="42">
        <f>SUM(AA61:AA68)</f>
        <v>-3640</v>
      </c>
    </row>
    <row r="61" spans="2:30" x14ac:dyDescent="0.3">
      <c r="B61" s="66" t="s">
        <v>211</v>
      </c>
      <c r="C61" s="38" t="s">
        <v>53</v>
      </c>
      <c r="D61" s="5">
        <v>6</v>
      </c>
      <c r="E61" s="6"/>
      <c r="F61" s="6"/>
      <c r="G61" s="6"/>
      <c r="H61" s="6">
        <v>1</v>
      </c>
      <c r="I61" s="6"/>
      <c r="J61" s="7">
        <f>(D61*D$59)+(E61*E$59)+(F61*F$59)+(G61*G$59)+(H61*H$59)+(I61*I$59)</f>
        <v>80</v>
      </c>
      <c r="K61" s="15" t="str">
        <f>IF(D61&gt;=100, 250, IF(D61&gt;=50, 150, IF(D61&gt;=30, 50, "")))</f>
        <v/>
      </c>
      <c r="L61" s="15" t="str">
        <f>IF(E61=5, 200, IF(E61=3, 150, IF(E61=2, 50, "")))</f>
        <v/>
      </c>
      <c r="M61" s="15" t="s">
        <v>258</v>
      </c>
      <c r="N61" s="15"/>
      <c r="O61" s="15"/>
      <c r="P61" s="16"/>
      <c r="Q61" s="16"/>
      <c r="R61" s="17">
        <f>SUM(K61:Q61)</f>
        <v>0</v>
      </c>
      <c r="T61" s="14">
        <f>(R61+J61)*2</f>
        <v>160</v>
      </c>
      <c r="V61" s="28">
        <v>1</v>
      </c>
      <c r="W61" s="29">
        <v>45779</v>
      </c>
      <c r="X61" s="28">
        <v>2380</v>
      </c>
      <c r="Y61" s="28">
        <v>-705</v>
      </c>
      <c r="Z61" s="28">
        <v>-1005</v>
      </c>
      <c r="AA61" s="28">
        <v>-670</v>
      </c>
    </row>
    <row r="62" spans="2:30" x14ac:dyDescent="0.3">
      <c r="B62" s="67"/>
      <c r="C62" s="4" t="s">
        <v>136</v>
      </c>
      <c r="D62" s="18">
        <v>1</v>
      </c>
      <c r="E62" s="1"/>
      <c r="F62" s="1"/>
      <c r="G62" s="1"/>
      <c r="H62" s="1"/>
      <c r="I62" s="1"/>
      <c r="J62" s="19">
        <f t="shared" ref="J62:J65" si="9">(D62*D$59)+(E62*E$59)+(F62*F$59)+(G62*G$59)+(H62*H$59)+(I62*I$59)</f>
        <v>5</v>
      </c>
      <c r="K62" s="15" t="str">
        <f t="shared" ref="K62:K65" si="10">IF(D62&gt;=100, 250, IF(D62&gt;=50, 150, IF(D62&gt;=30, 50, "")))</f>
        <v/>
      </c>
      <c r="L62" s="20" t="str">
        <f t="shared" ref="L62:L65" si="11">IF(E62=5, 200, IF(E62=3, 150, IF(E62=2, 50, "")))</f>
        <v/>
      </c>
      <c r="M62" s="20" t="s">
        <v>258</v>
      </c>
      <c r="N62" s="20"/>
      <c r="O62" s="20"/>
      <c r="P62" s="1"/>
      <c r="Q62" s="1"/>
      <c r="R62" s="17">
        <f>SUM(K62:Q62)</f>
        <v>0</v>
      </c>
      <c r="T62" s="14">
        <f>R62+J62</f>
        <v>5</v>
      </c>
      <c r="V62" s="28">
        <v>2</v>
      </c>
      <c r="W62" s="29">
        <v>45780</v>
      </c>
      <c r="X62" s="45">
        <v>-885</v>
      </c>
      <c r="Y62" s="45">
        <v>2825</v>
      </c>
      <c r="Z62" s="45">
        <v>-830</v>
      </c>
      <c r="AA62" s="45">
        <v>-1110</v>
      </c>
    </row>
    <row r="63" spans="2:30" x14ac:dyDescent="0.3">
      <c r="B63" s="67"/>
      <c r="C63" s="4" t="s">
        <v>38</v>
      </c>
      <c r="D63" s="18">
        <v>18</v>
      </c>
      <c r="E63" s="1"/>
      <c r="F63" s="1"/>
      <c r="G63" s="1"/>
      <c r="H63" s="1"/>
      <c r="I63" s="1"/>
      <c r="J63" s="19">
        <f t="shared" si="9"/>
        <v>90</v>
      </c>
      <c r="K63" s="15" t="str">
        <f t="shared" si="10"/>
        <v/>
      </c>
      <c r="L63" s="20" t="str">
        <f t="shared" si="11"/>
        <v/>
      </c>
      <c r="M63" s="20" t="s">
        <v>258</v>
      </c>
      <c r="N63" s="20"/>
      <c r="O63" s="20"/>
      <c r="P63" s="1"/>
      <c r="Q63" s="1"/>
      <c r="R63" s="17">
        <f>SUM(K63:Q63)</f>
        <v>0</v>
      </c>
      <c r="T63" s="14">
        <f>R63+J63</f>
        <v>90</v>
      </c>
      <c r="V63" s="28">
        <v>3</v>
      </c>
      <c r="W63" s="29">
        <v>45781</v>
      </c>
      <c r="X63" s="45">
        <v>2575</v>
      </c>
      <c r="Y63" s="45">
        <v>-1115</v>
      </c>
      <c r="Z63" s="45">
        <v>-265</v>
      </c>
      <c r="AA63" s="45">
        <v>-1195</v>
      </c>
      <c r="AC63" s="50" t="s">
        <v>5</v>
      </c>
      <c r="AD63" s="50" t="s">
        <v>235</v>
      </c>
    </row>
    <row r="64" spans="2:30" x14ac:dyDescent="0.3">
      <c r="B64" s="67"/>
      <c r="C64" s="4" t="s">
        <v>291</v>
      </c>
      <c r="D64" s="18"/>
      <c r="E64" s="1"/>
      <c r="F64" s="1"/>
      <c r="G64" s="1"/>
      <c r="H64" s="1">
        <v>2</v>
      </c>
      <c r="I64" s="1"/>
      <c r="J64" s="19">
        <f t="shared" si="9"/>
        <v>100</v>
      </c>
      <c r="K64" s="15" t="str">
        <f t="shared" si="10"/>
        <v/>
      </c>
      <c r="L64" s="20" t="str">
        <f t="shared" si="11"/>
        <v/>
      </c>
      <c r="M64" s="20" t="s">
        <v>258</v>
      </c>
      <c r="N64" s="20"/>
      <c r="O64" s="20"/>
      <c r="P64" s="1"/>
      <c r="Q64" s="1"/>
      <c r="R64" s="17">
        <f>SUM(K64:Q64)</f>
        <v>0</v>
      </c>
      <c r="T64" s="14">
        <f>R64+J64</f>
        <v>100</v>
      </c>
      <c r="V64" s="28">
        <v>4</v>
      </c>
      <c r="W64" s="29">
        <v>45781</v>
      </c>
      <c r="X64" s="45">
        <f>T66-T78</f>
        <v>-1175</v>
      </c>
      <c r="Y64" s="45">
        <f>T72-T78</f>
        <v>-605</v>
      </c>
      <c r="Z64" s="45">
        <f>-(X64+Y64+AA64)</f>
        <v>2445</v>
      </c>
      <c r="AA64" s="45">
        <f>T84-T78</f>
        <v>-665</v>
      </c>
      <c r="AC64" s="28" t="s">
        <v>211</v>
      </c>
      <c r="AD64" s="28">
        <f>T66</f>
        <v>605</v>
      </c>
    </row>
    <row r="65" spans="2:30" ht="15" thickBot="1" x14ac:dyDescent="0.35">
      <c r="B65" s="68"/>
      <c r="C65" s="21" t="s">
        <v>266</v>
      </c>
      <c r="D65" s="9"/>
      <c r="E65" s="10">
        <v>2</v>
      </c>
      <c r="F65" s="10"/>
      <c r="G65" s="10"/>
      <c r="H65" s="10"/>
      <c r="I65" s="10"/>
      <c r="J65" s="11">
        <f t="shared" si="9"/>
        <v>200</v>
      </c>
      <c r="K65" s="12" t="str">
        <f t="shared" si="10"/>
        <v/>
      </c>
      <c r="L65" s="12">
        <f t="shared" si="11"/>
        <v>50</v>
      </c>
      <c r="M65" s="12" t="s">
        <v>258</v>
      </c>
      <c r="N65" s="12"/>
      <c r="O65" s="12"/>
      <c r="P65" s="10"/>
      <c r="Q65" s="10"/>
      <c r="R65" s="13">
        <f>SUM(K65:Q65)</f>
        <v>50</v>
      </c>
      <c r="T65" s="22">
        <f>(R65+J65)</f>
        <v>250</v>
      </c>
      <c r="V65" s="28">
        <v>5</v>
      </c>
      <c r="W65" s="29"/>
      <c r="X65" s="28"/>
      <c r="Y65" s="28"/>
      <c r="Z65" s="28"/>
      <c r="AA65" s="28"/>
      <c r="AC65" s="28" t="s">
        <v>96</v>
      </c>
      <c r="AD65" s="28">
        <f>T72</f>
        <v>1175</v>
      </c>
    </row>
    <row r="66" spans="2:30" ht="15" thickBot="1" x14ac:dyDescent="0.35">
      <c r="K66" s="2" t="s">
        <v>258</v>
      </c>
      <c r="L66" s="2" t="s">
        <v>258</v>
      </c>
      <c r="T66" s="37">
        <f>SUM(T61:T65)</f>
        <v>605</v>
      </c>
      <c r="V66" s="28">
        <v>6</v>
      </c>
      <c r="W66" s="29"/>
      <c r="X66" s="28"/>
      <c r="Y66" s="28"/>
      <c r="Z66" s="28"/>
      <c r="AA66" s="28"/>
      <c r="AC66" s="28" t="s">
        <v>97</v>
      </c>
      <c r="AD66" s="28">
        <f>T78</f>
        <v>1780</v>
      </c>
    </row>
    <row r="67" spans="2:30" x14ac:dyDescent="0.3">
      <c r="B67" s="66" t="s">
        <v>96</v>
      </c>
      <c r="C67" s="39" t="s">
        <v>319</v>
      </c>
      <c r="D67" s="23">
        <v>13</v>
      </c>
      <c r="E67" s="6"/>
      <c r="F67" s="6"/>
      <c r="G67" s="6"/>
      <c r="H67" s="6"/>
      <c r="I67" s="6"/>
      <c r="J67" s="7">
        <f>(D67*D$59)+(E67*E$59)+(F67*F$59)+(G67*G$59)+(H67*H$59)+(I67*I$59)</f>
        <v>65</v>
      </c>
      <c r="K67" s="23" t="str">
        <f t="shared" ref="K67:K71" si="12">IF(D67&gt;=100, 250, IF(D67&gt;=50, 150, IF(D67&gt;=30, 50, "")))</f>
        <v/>
      </c>
      <c r="L67" s="23" t="str">
        <f t="shared" ref="L67:L71" si="13">IF(E67=5, 200, IF(E67=3, 150, IF(E67=2, 50, "")))</f>
        <v/>
      </c>
      <c r="M67" s="23"/>
      <c r="N67" s="23"/>
      <c r="O67" s="23"/>
      <c r="P67" s="6"/>
      <c r="Q67" s="6"/>
      <c r="R67" s="24">
        <f>SUM(K67:Q67)</f>
        <v>0</v>
      </c>
      <c r="T67" s="33">
        <f>(R67+J67)*2</f>
        <v>130</v>
      </c>
      <c r="V67" s="28">
        <v>7</v>
      </c>
      <c r="W67" s="29"/>
      <c r="X67" s="28"/>
      <c r="Y67" s="28"/>
      <c r="Z67" s="28"/>
      <c r="AA67" s="28"/>
      <c r="AC67" s="28" t="s">
        <v>285</v>
      </c>
      <c r="AD67" s="28">
        <f>T84</f>
        <v>1115</v>
      </c>
    </row>
    <row r="68" spans="2:30" x14ac:dyDescent="0.3">
      <c r="B68" s="67"/>
      <c r="C68" s="19" t="s">
        <v>127</v>
      </c>
      <c r="D68" s="20"/>
      <c r="E68" s="1">
        <v>1</v>
      </c>
      <c r="F68" s="1"/>
      <c r="G68" s="1"/>
      <c r="H68" s="1"/>
      <c r="I68" s="1"/>
      <c r="J68" s="19">
        <f t="shared" ref="J68:J71" si="14">(D68*D$59)+(E68*E$59)+(F68*F$59)+(G68*G$59)+(H68*H$59)+(I68*I$59)</f>
        <v>100</v>
      </c>
      <c r="K68" s="15" t="str">
        <f t="shared" si="12"/>
        <v/>
      </c>
      <c r="L68" s="20" t="str">
        <f t="shared" si="13"/>
        <v/>
      </c>
      <c r="M68" s="20"/>
      <c r="N68" s="20"/>
      <c r="O68" s="20"/>
      <c r="P68" s="1"/>
      <c r="Q68" s="1"/>
      <c r="R68" s="17">
        <f>SUM(K68:Q68)</f>
        <v>0</v>
      </c>
      <c r="T68" s="14">
        <f>R68+J68</f>
        <v>100</v>
      </c>
      <c r="V68" s="28">
        <v>8</v>
      </c>
      <c r="W68" s="29"/>
      <c r="X68" s="28"/>
      <c r="Y68" s="28"/>
      <c r="Z68" s="28"/>
      <c r="AA68" s="28"/>
    </row>
    <row r="69" spans="2:30" x14ac:dyDescent="0.3">
      <c r="B69" s="67"/>
      <c r="C69" s="19" t="s">
        <v>225</v>
      </c>
      <c r="D69" s="20">
        <v>16</v>
      </c>
      <c r="E69" s="1"/>
      <c r="F69" s="1"/>
      <c r="G69" s="1"/>
      <c r="H69" s="1">
        <v>1</v>
      </c>
      <c r="I69" s="1"/>
      <c r="J69" s="19">
        <f t="shared" si="14"/>
        <v>130</v>
      </c>
      <c r="K69" s="15" t="str">
        <f t="shared" si="12"/>
        <v/>
      </c>
      <c r="L69" s="20" t="str">
        <f t="shared" si="13"/>
        <v/>
      </c>
      <c r="M69" s="20"/>
      <c r="N69" s="20"/>
      <c r="O69" s="20"/>
      <c r="P69" s="1"/>
      <c r="Q69" s="1"/>
      <c r="R69" s="17">
        <f>SUM(K69:Q69)</f>
        <v>0</v>
      </c>
      <c r="T69" s="14">
        <f>R69+J69</f>
        <v>130</v>
      </c>
      <c r="V69" s="28"/>
      <c r="W69" s="29"/>
      <c r="X69" s="28"/>
      <c r="Y69" s="28"/>
      <c r="Z69" s="28"/>
      <c r="AA69" s="28"/>
    </row>
    <row r="70" spans="2:30" x14ac:dyDescent="0.3">
      <c r="B70" s="67"/>
      <c r="C70" s="19" t="s">
        <v>131</v>
      </c>
      <c r="D70" s="20"/>
      <c r="E70" s="1">
        <v>3</v>
      </c>
      <c r="F70" s="1"/>
      <c r="G70" s="1"/>
      <c r="H70" s="1">
        <v>1</v>
      </c>
      <c r="I70" s="1"/>
      <c r="J70" s="19">
        <f t="shared" si="14"/>
        <v>350</v>
      </c>
      <c r="K70" s="15" t="str">
        <f t="shared" si="12"/>
        <v/>
      </c>
      <c r="L70" s="20">
        <f t="shared" si="13"/>
        <v>150</v>
      </c>
      <c r="M70" s="20"/>
      <c r="N70" s="20"/>
      <c r="O70" s="20"/>
      <c r="P70" s="1"/>
      <c r="Q70" s="1"/>
      <c r="R70" s="17">
        <f>SUM(K70:Q70)</f>
        <v>150</v>
      </c>
      <c r="T70" s="14">
        <f>R70+J70</f>
        <v>500</v>
      </c>
      <c r="V70" s="28"/>
      <c r="W70" s="29"/>
      <c r="X70" s="28"/>
      <c r="Y70" s="28"/>
      <c r="Z70" s="28"/>
      <c r="AA70" s="28"/>
    </row>
    <row r="71" spans="2:30" ht="15" thickBot="1" x14ac:dyDescent="0.35">
      <c r="B71" s="68"/>
      <c r="C71" s="11" t="s">
        <v>124</v>
      </c>
      <c r="D71" s="12">
        <v>33</v>
      </c>
      <c r="E71" s="10"/>
      <c r="F71" s="10"/>
      <c r="G71" s="10"/>
      <c r="H71" s="10">
        <v>2</v>
      </c>
      <c r="I71" s="10"/>
      <c r="J71" s="11">
        <f t="shared" si="14"/>
        <v>265</v>
      </c>
      <c r="K71" s="12">
        <f t="shared" si="12"/>
        <v>50</v>
      </c>
      <c r="L71" s="12" t="str">
        <f t="shared" si="13"/>
        <v/>
      </c>
      <c r="M71" s="12"/>
      <c r="N71" s="12"/>
      <c r="O71" s="12"/>
      <c r="P71" s="10"/>
      <c r="Q71" s="10"/>
      <c r="R71" s="13">
        <f>SUM(K71:Q71)</f>
        <v>50</v>
      </c>
      <c r="T71" s="34">
        <f>R71+J71</f>
        <v>315</v>
      </c>
      <c r="V71" s="28"/>
      <c r="W71" s="29"/>
      <c r="X71" s="28"/>
      <c r="Y71" s="28"/>
      <c r="Z71" s="28"/>
      <c r="AA71" s="28"/>
    </row>
    <row r="72" spans="2:30" ht="15" thickBot="1" x14ac:dyDescent="0.35">
      <c r="K72" s="2" t="s">
        <v>258</v>
      </c>
      <c r="L72" s="2" t="s">
        <v>258</v>
      </c>
      <c r="T72" s="37">
        <f>SUM(T67:T71)</f>
        <v>1175</v>
      </c>
      <c r="V72" s="28"/>
      <c r="W72" s="29"/>
      <c r="X72" s="28"/>
      <c r="Y72" s="28"/>
      <c r="Z72" s="28"/>
      <c r="AA72" s="28"/>
    </row>
    <row r="73" spans="2:30" x14ac:dyDescent="0.3">
      <c r="B73" s="66" t="s">
        <v>97</v>
      </c>
      <c r="C73" s="39" t="s">
        <v>224</v>
      </c>
      <c r="D73" s="23">
        <v>45</v>
      </c>
      <c r="E73" s="6"/>
      <c r="F73" s="6"/>
      <c r="G73" s="6"/>
      <c r="H73" s="6"/>
      <c r="I73" s="6"/>
      <c r="J73" s="7">
        <f>(D73*D$59)+(E73*E$59)+(F73*F$59)+(G73*G$59)+(H73*H$59)+(I73*I$59)</f>
        <v>225</v>
      </c>
      <c r="K73" s="23">
        <f t="shared" ref="K73:K77" si="15">IF(D73&gt;=100, 250, IF(D73&gt;=50, 150, IF(D73&gt;=30, 50, "")))</f>
        <v>50</v>
      </c>
      <c r="L73" s="23" t="str">
        <f t="shared" ref="L73:L77" si="16">IF(E73=5, 200, IF(E73=3, 150, IF(E73=2, 50, "")))</f>
        <v/>
      </c>
      <c r="M73" s="23"/>
      <c r="N73" s="23"/>
      <c r="O73" s="23"/>
      <c r="P73" s="6"/>
      <c r="Q73" s="6"/>
      <c r="R73" s="24">
        <f>SUM(K73:Q73)</f>
        <v>50</v>
      </c>
      <c r="T73" s="33">
        <f>(R73+J73)*2</f>
        <v>550</v>
      </c>
      <c r="V73" s="28"/>
      <c r="W73" s="29"/>
      <c r="X73" s="28"/>
      <c r="Y73" s="28"/>
      <c r="Z73" s="28"/>
      <c r="AA73" s="28"/>
    </row>
    <row r="74" spans="2:30" x14ac:dyDescent="0.3">
      <c r="B74" s="67"/>
      <c r="C74" s="19" t="s">
        <v>134</v>
      </c>
      <c r="D74" s="20">
        <v>91</v>
      </c>
      <c r="E74" s="1"/>
      <c r="F74" s="1"/>
      <c r="G74" s="1"/>
      <c r="H74" s="1"/>
      <c r="I74" s="1"/>
      <c r="J74" s="19">
        <f t="shared" ref="J74:J77" si="17">(D74*D$59)+(E74*E$59)+(F74*F$59)+(G74*G$59)+(H74*H$59)+(I74*I$59)</f>
        <v>455</v>
      </c>
      <c r="K74" s="15">
        <f t="shared" si="15"/>
        <v>150</v>
      </c>
      <c r="L74" s="20" t="str">
        <f t="shared" si="16"/>
        <v/>
      </c>
      <c r="M74" s="20"/>
      <c r="N74" s="20"/>
      <c r="O74" s="20">
        <v>150</v>
      </c>
      <c r="P74" s="1"/>
      <c r="Q74" s="1"/>
      <c r="R74" s="17">
        <f>SUM(K74:Q74)</f>
        <v>300</v>
      </c>
      <c r="T74" s="14">
        <f>R74+J74</f>
        <v>755</v>
      </c>
      <c r="V74" s="28"/>
      <c r="W74" s="29"/>
      <c r="X74" s="28"/>
      <c r="Y74" s="28"/>
      <c r="Z74" s="28"/>
      <c r="AA74" s="28"/>
    </row>
    <row r="75" spans="2:30" x14ac:dyDescent="0.3">
      <c r="B75" s="67"/>
      <c r="C75" s="19" t="s">
        <v>126</v>
      </c>
      <c r="D75" s="20">
        <v>15</v>
      </c>
      <c r="E75" s="1"/>
      <c r="F75" s="1"/>
      <c r="G75" s="1"/>
      <c r="H75" s="1"/>
      <c r="I75" s="1"/>
      <c r="J75" s="19">
        <f t="shared" si="17"/>
        <v>75</v>
      </c>
      <c r="K75" s="15" t="str">
        <f t="shared" si="15"/>
        <v/>
      </c>
      <c r="L75" s="20" t="str">
        <f t="shared" si="16"/>
        <v/>
      </c>
      <c r="M75" s="20"/>
      <c r="N75" s="20"/>
      <c r="O75" s="20"/>
      <c r="P75" s="1"/>
      <c r="Q75" s="1"/>
      <c r="R75" s="17">
        <f>SUM(K75:Q75)</f>
        <v>0</v>
      </c>
      <c r="T75" s="14">
        <f>R75+J75</f>
        <v>75</v>
      </c>
      <c r="V75" s="28"/>
      <c r="W75" s="29"/>
      <c r="X75" s="28"/>
      <c r="Y75" s="28"/>
      <c r="Z75" s="28"/>
      <c r="AA75" s="28"/>
    </row>
    <row r="76" spans="2:30" x14ac:dyDescent="0.3">
      <c r="B76" s="67"/>
      <c r="C76" s="19" t="s">
        <v>123</v>
      </c>
      <c r="D76" s="20"/>
      <c r="E76" s="1">
        <v>1</v>
      </c>
      <c r="F76" s="1"/>
      <c r="G76" s="1"/>
      <c r="H76" s="1">
        <v>1</v>
      </c>
      <c r="I76" s="1"/>
      <c r="J76" s="19">
        <f t="shared" si="17"/>
        <v>150</v>
      </c>
      <c r="K76" s="15" t="str">
        <f t="shared" si="15"/>
        <v/>
      </c>
      <c r="L76" s="20" t="str">
        <f t="shared" si="16"/>
        <v/>
      </c>
      <c r="M76" s="20"/>
      <c r="N76" s="20"/>
      <c r="O76" s="20"/>
      <c r="P76" s="1"/>
      <c r="Q76" s="1"/>
      <c r="R76" s="17">
        <f>SUM(K76:Q76)</f>
        <v>0</v>
      </c>
      <c r="T76" s="14">
        <f>R76+J76</f>
        <v>150</v>
      </c>
      <c r="V76" s="28"/>
      <c r="W76" s="29"/>
      <c r="X76" s="28"/>
      <c r="Y76" s="28"/>
      <c r="Z76" s="28"/>
      <c r="AA76" s="28"/>
    </row>
    <row r="77" spans="2:30" ht="15" thickBot="1" x14ac:dyDescent="0.35">
      <c r="B77" s="68"/>
      <c r="C77" s="11" t="s">
        <v>212</v>
      </c>
      <c r="D77" s="12"/>
      <c r="E77" s="10">
        <v>2</v>
      </c>
      <c r="F77" s="10"/>
      <c r="G77" s="10"/>
      <c r="H77" s="10"/>
      <c r="I77" s="10"/>
      <c r="J77" s="11">
        <f t="shared" si="17"/>
        <v>200</v>
      </c>
      <c r="K77" s="12" t="str">
        <f t="shared" si="15"/>
        <v/>
      </c>
      <c r="L77" s="12">
        <f t="shared" si="16"/>
        <v>50</v>
      </c>
      <c r="M77" s="12"/>
      <c r="N77" s="12"/>
      <c r="O77" s="12"/>
      <c r="P77" s="10"/>
      <c r="Q77" s="10"/>
      <c r="R77" s="13">
        <f>SUM(K77:Q77)</f>
        <v>50</v>
      </c>
      <c r="T77" s="34">
        <f>R77+J77</f>
        <v>250</v>
      </c>
      <c r="V77" s="28"/>
      <c r="W77" s="29"/>
      <c r="X77" s="28"/>
      <c r="Y77" s="28"/>
      <c r="Z77" s="28"/>
      <c r="AA77" s="28"/>
    </row>
    <row r="78" spans="2:30" ht="15" thickBot="1" x14ac:dyDescent="0.35">
      <c r="K78" s="2" t="s">
        <v>258</v>
      </c>
      <c r="L78" s="2" t="s">
        <v>258</v>
      </c>
      <c r="T78" s="37">
        <f>SUM(T73:T77)</f>
        <v>1780</v>
      </c>
      <c r="V78" s="28"/>
      <c r="W78" s="29"/>
      <c r="X78" s="28"/>
      <c r="Y78" s="28"/>
      <c r="Z78" s="28"/>
      <c r="AA78" s="28"/>
    </row>
    <row r="79" spans="2:30" x14ac:dyDescent="0.3">
      <c r="B79" s="66" t="s">
        <v>285</v>
      </c>
      <c r="C79" s="39" t="s">
        <v>37</v>
      </c>
      <c r="D79" s="23">
        <v>0</v>
      </c>
      <c r="E79" s="6"/>
      <c r="F79" s="6"/>
      <c r="G79" s="6"/>
      <c r="H79" s="6"/>
      <c r="I79" s="6">
        <v>1</v>
      </c>
      <c r="J79" s="7">
        <f>(D79*D$59)+(E79*E$59)+(F79*F$59)+(G79*G$59)+(H79*H$59)+(I79*I$59)</f>
        <v>-50</v>
      </c>
      <c r="K79" s="23" t="str">
        <f t="shared" ref="K79:K83" si="18">IF(D79&gt;=100, 250, IF(D79&gt;=50, 150, IF(D79&gt;=30, 50, "")))</f>
        <v/>
      </c>
      <c r="L79" s="23" t="str">
        <f t="shared" ref="L79:L83" si="19">IF(E79=5, 200, IF(E79=3, 150, IF(E79=2, 50, "")))</f>
        <v/>
      </c>
      <c r="M79" s="23"/>
      <c r="N79" s="23"/>
      <c r="O79" s="23"/>
      <c r="P79" s="6"/>
      <c r="Q79" s="6"/>
      <c r="R79" s="24">
        <f>SUM(K79:Q79)</f>
        <v>0</v>
      </c>
      <c r="T79" s="33">
        <f>(R79+J79)*2</f>
        <v>-100</v>
      </c>
      <c r="V79" s="28"/>
      <c r="W79" s="29"/>
      <c r="X79" s="28"/>
      <c r="Y79" s="28"/>
      <c r="Z79" s="28"/>
      <c r="AA79" s="28"/>
    </row>
    <row r="80" spans="2:30" x14ac:dyDescent="0.3">
      <c r="B80" s="67"/>
      <c r="C80" s="19" t="s">
        <v>158</v>
      </c>
      <c r="D80" s="20">
        <v>30</v>
      </c>
      <c r="E80" s="1"/>
      <c r="F80" s="1"/>
      <c r="G80" s="1"/>
      <c r="H80" s="1"/>
      <c r="I80" s="1"/>
      <c r="J80" s="19">
        <f t="shared" ref="J80:J83" si="20">(D80*D$59)+(E80*E$59)+(F80*F$59)+(G80*G$59)+(H80*H$59)+(I80*I$59)</f>
        <v>150</v>
      </c>
      <c r="K80" s="15">
        <f t="shared" si="18"/>
        <v>50</v>
      </c>
      <c r="L80" s="20" t="str">
        <f t="shared" si="19"/>
        <v/>
      </c>
      <c r="M80" s="20"/>
      <c r="N80" s="20"/>
      <c r="O80" s="20"/>
      <c r="P80" s="1"/>
      <c r="Q80" s="1"/>
      <c r="R80" s="17">
        <f>SUM(K80:Q80)</f>
        <v>50</v>
      </c>
      <c r="T80" s="14">
        <f>R80+J80</f>
        <v>200</v>
      </c>
      <c r="V80" s="28"/>
      <c r="W80" s="29"/>
      <c r="X80" s="28"/>
      <c r="Y80" s="28"/>
      <c r="Z80" s="28"/>
      <c r="AA80" s="28"/>
    </row>
    <row r="81" spans="2:27" x14ac:dyDescent="0.3">
      <c r="B81" s="67"/>
      <c r="C81" s="19" t="s">
        <v>148</v>
      </c>
      <c r="D81" s="20">
        <v>19</v>
      </c>
      <c r="E81" s="1"/>
      <c r="F81" s="1"/>
      <c r="G81" s="1"/>
      <c r="H81" s="1"/>
      <c r="I81" s="1"/>
      <c r="J81" s="19">
        <f t="shared" si="20"/>
        <v>95</v>
      </c>
      <c r="K81" s="15" t="str">
        <f t="shared" si="18"/>
        <v/>
      </c>
      <c r="L81" s="20" t="str">
        <f t="shared" si="19"/>
        <v/>
      </c>
      <c r="M81" s="20" t="s">
        <v>258</v>
      </c>
      <c r="N81" s="20"/>
      <c r="O81" s="20"/>
      <c r="P81" s="1"/>
      <c r="Q81" s="1"/>
      <c r="R81" s="17">
        <f>SUM(K81:Q81)</f>
        <v>0</v>
      </c>
      <c r="T81" s="14">
        <f>R81+J81</f>
        <v>95</v>
      </c>
      <c r="V81" s="28"/>
      <c r="W81" s="29"/>
      <c r="X81" s="28"/>
      <c r="Y81" s="28"/>
      <c r="Z81" s="28"/>
      <c r="AA81" s="28"/>
    </row>
    <row r="82" spans="2:27" x14ac:dyDescent="0.3">
      <c r="B82" s="67"/>
      <c r="C82" s="19" t="s">
        <v>213</v>
      </c>
      <c r="D82" s="20">
        <v>74</v>
      </c>
      <c r="E82" s="1"/>
      <c r="F82" s="1"/>
      <c r="G82" s="1"/>
      <c r="H82" s="1"/>
      <c r="I82" s="1"/>
      <c r="J82" s="19">
        <f t="shared" si="20"/>
        <v>370</v>
      </c>
      <c r="K82" s="15">
        <f t="shared" si="18"/>
        <v>150</v>
      </c>
      <c r="L82" s="20" t="str">
        <f t="shared" si="19"/>
        <v/>
      </c>
      <c r="M82" s="20" t="s">
        <v>258</v>
      </c>
      <c r="N82" s="20"/>
      <c r="O82" s="20">
        <v>150</v>
      </c>
      <c r="P82" s="1"/>
      <c r="Q82" s="1"/>
      <c r="R82" s="17">
        <f>SUM(K82:Q82)</f>
        <v>300</v>
      </c>
      <c r="T82" s="14">
        <f>R82+J82</f>
        <v>670</v>
      </c>
      <c r="V82" s="28"/>
      <c r="W82" s="29"/>
      <c r="X82" s="28"/>
      <c r="Y82" s="28"/>
      <c r="Z82" s="28"/>
      <c r="AA82" s="28"/>
    </row>
    <row r="83" spans="2:27" ht="15" thickBot="1" x14ac:dyDescent="0.35">
      <c r="B83" s="68"/>
      <c r="C83" s="11" t="s">
        <v>128</v>
      </c>
      <c r="D83" s="12"/>
      <c r="E83" s="10">
        <v>2</v>
      </c>
      <c r="F83" s="10"/>
      <c r="G83" s="10"/>
      <c r="H83" s="10"/>
      <c r="I83" s="10"/>
      <c r="J83" s="11">
        <f t="shared" si="20"/>
        <v>200</v>
      </c>
      <c r="K83" s="12" t="str">
        <f t="shared" si="18"/>
        <v/>
      </c>
      <c r="L83" s="12">
        <f t="shared" si="19"/>
        <v>50</v>
      </c>
      <c r="M83" s="12" t="s">
        <v>258</v>
      </c>
      <c r="N83" s="12"/>
      <c r="O83" s="12"/>
      <c r="P83" s="10"/>
      <c r="Q83" s="10"/>
      <c r="R83" s="13">
        <f>SUM(K83:Q83)</f>
        <v>50</v>
      </c>
      <c r="T83" s="34">
        <f>R83+J83</f>
        <v>250</v>
      </c>
      <c r="V83" s="28"/>
      <c r="W83" s="29"/>
      <c r="X83" s="28"/>
      <c r="Y83" s="28"/>
      <c r="Z83" s="28"/>
      <c r="AA83" s="28"/>
    </row>
    <row r="84" spans="2:27" ht="15" thickBot="1" x14ac:dyDescent="0.35">
      <c r="T84" s="37">
        <f>SUM(T79:T83)</f>
        <v>1115</v>
      </c>
      <c r="V84" s="28"/>
      <c r="W84" s="29"/>
      <c r="X84" s="28"/>
      <c r="Y84" s="28"/>
      <c r="Z84" s="28"/>
      <c r="AA84" s="28"/>
    </row>
  </sheetData>
  <mergeCells count="8">
    <mergeCell ref="B73:B77"/>
    <mergeCell ref="B79:B83"/>
    <mergeCell ref="B29:B33"/>
    <mergeCell ref="B35:B39"/>
    <mergeCell ref="B41:B45"/>
    <mergeCell ref="B47:B51"/>
    <mergeCell ref="B61:B65"/>
    <mergeCell ref="B67:B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22-03</vt:lpstr>
      <vt:lpstr>23-03</vt:lpstr>
      <vt:lpstr>24-03</vt:lpstr>
      <vt:lpstr>25-03</vt:lpstr>
      <vt:lpstr>26-03</vt:lpstr>
      <vt:lpstr>27-03</vt:lpstr>
      <vt:lpstr>28-03</vt:lpstr>
      <vt:lpstr>29-03</vt:lpstr>
      <vt:lpstr>30-03</vt:lpstr>
      <vt:lpstr>31-03</vt:lpstr>
      <vt:lpstr>01-04</vt:lpstr>
      <vt:lpstr>02-04</vt:lpstr>
      <vt:lpstr>03-04</vt:lpstr>
      <vt:lpstr>04-04</vt:lpstr>
      <vt:lpstr>05-04</vt:lpstr>
      <vt:lpstr>06-04</vt:lpstr>
      <vt:lpstr>07-04</vt:lpstr>
      <vt:lpstr>08-04</vt:lpstr>
      <vt:lpstr>09-04</vt:lpstr>
      <vt:lpstr>10-04</vt:lpstr>
      <vt:lpstr>11-04</vt:lpstr>
      <vt:lpstr>12-04</vt:lpstr>
      <vt:lpstr>13-04</vt:lpstr>
      <vt:lpstr>14-04</vt:lpstr>
      <vt:lpstr>15-04</vt:lpstr>
      <vt:lpstr>16-04</vt:lpstr>
      <vt:lpstr>19-04</vt:lpstr>
      <vt:lpstr>20-04</vt:lpstr>
      <vt:lpstr>21-04</vt:lpstr>
      <vt:lpstr>22-04</vt:lpstr>
      <vt:lpstr>23-04</vt:lpstr>
      <vt:lpstr>24-04</vt:lpstr>
      <vt:lpstr>25-04</vt:lpstr>
      <vt:lpstr>27-04</vt:lpstr>
      <vt:lpstr>28-04</vt:lpstr>
      <vt:lpstr>29-04</vt:lpstr>
      <vt:lpstr>30-04</vt:lpstr>
      <vt:lpstr>01-05</vt:lpstr>
      <vt:lpstr>07-05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RAM MOHAN</cp:lastModifiedBy>
  <dcterms:created xsi:type="dcterms:W3CDTF">2023-03-31T17:18:38Z</dcterms:created>
  <dcterms:modified xsi:type="dcterms:W3CDTF">2026-05-03T13:19:14Z</dcterms:modified>
</cp:coreProperties>
</file>